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yeneirvine/projects/reliever/frontend/src/app/ref/"/>
    </mc:Choice>
  </mc:AlternateContent>
  <xr:revisionPtr revIDLastSave="0" documentId="8_{ADDA1AB0-C138-894E-A824-581DDD4A9760}" xr6:coauthVersionLast="47" xr6:coauthVersionMax="47" xr10:uidLastSave="{00000000-0000-0000-0000-000000000000}"/>
  <workbookProtection workbookAlgorithmName="SHA-512" workbookHashValue="Joc9XMyim5ZpZzrMl6tp2TRnJJOjHs0jJKco1vxjGNs6RaLWc65pB+ujTk+JclrmbLuKX21NZSeUX7W22Isnsw==" workbookSaltValue="n0z8Pf77ejUAy7AwpcoXQA==" workbookSpinCount="100000" lockStructure="1"/>
  <bookViews>
    <workbookView xWindow="0" yWindow="760" windowWidth="29040" windowHeight="15840" tabRatio="813" activeTab="3" xr2:uid="{00000000-000D-0000-FFFF-FFFF00000000}"/>
  </bookViews>
  <sheets>
    <sheet name="Revisions" sheetId="13" r:id="rId1"/>
    <sheet name="Summary" sheetId="1" r:id="rId2"/>
    <sheet name="Case 1 - External Fire" sheetId="5" r:id="rId3"/>
    <sheet name="Case 2 - Nitrogen Cntrl Failure" sheetId="11" r:id="rId4"/>
    <sheet name="Case 3 - Split Exchanger Tube" sheetId="10" r:id="rId5"/>
    <sheet name="Case 4 - Liquid Overfill" sheetId="15" r:id="rId6"/>
    <sheet name="Head Area Table" sheetId="2" r:id="rId7"/>
    <sheet name="Fluids" sheetId="7" r:id="rId8"/>
  </sheets>
  <externalReferences>
    <externalReference r:id="rId9"/>
    <externalReference r:id="rId10"/>
    <externalReference r:id="rId11"/>
    <externalReference r:id="rId12"/>
  </externalReferences>
  <definedNames>
    <definedName name="_1000_Liter_Pilot_Vessel_from_China">"saved_data"</definedName>
    <definedName name="_304_SS">"Vessel_Materials"</definedName>
    <definedName name="A" localSheetId="3">'[1]Dowtherm A'!#REF!</definedName>
    <definedName name="A">'[1]Dowtherm A'!#REF!</definedName>
    <definedName name="Agitation_nozzles">'[2]Data Tables'!$C$100</definedName>
    <definedName name="Aiding_Flow">'[2]Data Tables'!$C$102</definedName>
    <definedName name="answer">[1]Sheet1!$AB$129:$AG$129</definedName>
    <definedName name="area">'[2]Data Input'!$E$19</definedName>
    <definedName name="B" localSheetId="3">'[1]Dowtherm A'!#REF!</definedName>
    <definedName name="B">'[1]Dowtherm A'!#REF!</definedName>
    <definedName name="baffle_spacing">'[2]Data Input'!$D$62</definedName>
    <definedName name="baffled">'[2]Data Tables'!$C$110</definedName>
    <definedName name="bottom_head_effarea">[2]Calculations!$H$154</definedName>
    <definedName name="bottom_jacket_flow_type">'[2]Data Tables'!$C$122</definedName>
    <definedName name="Bottom_Jacket_Type">'[2]Data Tables'!$C$119</definedName>
    <definedName name="bttmjkt_temp">'[2]Data Tables'!$C$104</definedName>
    <definedName name="CC" localSheetId="3">'[1]Dowtherm A'!#REF!</definedName>
    <definedName name="CC">'[1]Dowtherm A'!#REF!</definedName>
    <definedName name="client">'[2]Data Input'!$E$16</definedName>
    <definedName name="coil_gr">[2]Calculations!$F$443</definedName>
    <definedName name="coil_impellers">[2]Calculations!$C$447:$Q$456</definedName>
    <definedName name="coil_pipe_data">'[2]Data Tables'!$A$60:$C$63</definedName>
    <definedName name="coil_wall_temp">[2]Calculations!$L$101</definedName>
    <definedName name="conv_annular">'[2]Data Input'!$D$57</definedName>
    <definedName name="Conv_jkt_Baffled">'[2]Data Tables'!$C$101</definedName>
    <definedName name="Data" localSheetId="3">'[2]Fluid Data'!#REF!</definedName>
    <definedName name="Data">'[2]Fluid Data'!#REF!</definedName>
    <definedName name="data_temp">'[2]Data Tables'!$B$148:$B$208</definedName>
    <definedName name="data_time">'[2]Data Tables'!$A$148:$A$208</definedName>
    <definedName name="date">'[2]Data Input'!$C$17</definedName>
    <definedName name="Description">'[2]Data Input'!$C$24</definedName>
    <definedName name="dynamic_viscosity_kgs">[2]Calculations!$F$42</definedName>
    <definedName name="Equip_No">'[2]Data Input'!$E$20</definedName>
    <definedName name="exp_bottom">'[2]Data Tables'!$C$112</definedName>
    <definedName name="exp_side">'[2]Data Tables'!$C$111</definedName>
    <definedName name="flow_msg">[2]Calculations!$B$471:$C$476</definedName>
    <definedName name="Fluid">'[2]Data Tables'!$C$96</definedName>
    <definedName name="Fluids">'[2]Fluid Data'!$A$61:$A$171</definedName>
    <definedName name="gc">7.4805</definedName>
    <definedName name="head_types">'[2]Data Tables'!$A$71:$F$78</definedName>
    <definedName name="Heads">'[2]Data Tables'!$C$93</definedName>
    <definedName name="heat_transfer_rate_US">[2]Calculations!$P$139</definedName>
    <definedName name="HTF_properties">'[2]Fluid Data'!$A$61:$AA$171</definedName>
    <definedName name="htfunits_heat">'[2]Data Tables'!$C$127</definedName>
    <definedName name="htfunits_sg">'[2]Data Tables'!$C$126</definedName>
    <definedName name="htfunits_tc">'[2]Data Tables'!$C$128</definedName>
    <definedName name="htfunits_temp">'[2]Data Tables'!$C$125</definedName>
    <definedName name="htfunits_viscosity">'[2]Data Tables'!$C$129</definedName>
    <definedName name="Impeller">'[2]Data Tables'!$C$99</definedName>
    <definedName name="impeller_type">[2]Calculations!$C$429:$C$438</definedName>
    <definedName name="impellers">[2]Calculations!$C$429:$AK$438</definedName>
    <definedName name="internal_coil_flow_type">'[2]Data Tables'!$C$123</definedName>
    <definedName name="internal_coil_pipe_data">'[2]Data Tables'!$H$60:$M$65</definedName>
    <definedName name="Internal_coil_size_index">'[2]Data Tables'!$C$108</definedName>
    <definedName name="Internal_coil_sizes">'[2]Data Tables'!$L$60:$M$65</definedName>
    <definedName name="Internal_Coil_Type">'[2]Data Tables'!$C$106</definedName>
    <definedName name="internal_size">'[2]Data Tables'!$H$60:$H$65</definedName>
    <definedName name="Interval">[2]Timeline!$B$2</definedName>
    <definedName name="Item_to_restore">'[2]Data Tables'!$C$120</definedName>
    <definedName name="Jacket_Type">'[2]Data Tables'!$C$97</definedName>
    <definedName name="kkkhj">'[2]Fluid Data'!#REF!</definedName>
    <definedName name="Label_temp">'[2]Data Tables'!$B$147</definedName>
    <definedName name="Lining_material">'[2]Data Tables'!$C$95</definedName>
    <definedName name="Lining_Materials">'[2]Data Tables'!$E$40:$E$51</definedName>
    <definedName name="linings">'[2]Data Tables'!$E$40:$G$51</definedName>
    <definedName name="material">'[2]Data Tables'!$A$40:$C$49</definedName>
    <definedName name="Methanol" localSheetId="3">[3]Summary!$C$39</definedName>
    <definedName name="Methanol">Summary!$D$16</definedName>
    <definedName name="Nozzle_size_index">'[2]Data Tables'!$C$109</definedName>
    <definedName name="O.D.v">[2]Calculations!$D$58</definedName>
    <definedName name="Pitch">'[2]Data Tables'!$C$103</definedName>
    <definedName name="prepared">'[2]Data Input'!$C$16</definedName>
    <definedName name="_xlnm.Print_Area" localSheetId="2">'Case 1 - External Fire'!$A$1:$I$39,'Case 1 - External Fire'!$A$47:$I$81</definedName>
    <definedName name="_xlnm.Print_Area" localSheetId="3">'Case 2 - Nitrogen Cntrl Failure'!$B$1:$J$20</definedName>
    <definedName name="_xlnm.Print_Area" localSheetId="1">Summary!$A$1:$J$40</definedName>
    <definedName name="_xlnm.Print_Titles" localSheetId="1">Summary!$1:$7</definedName>
    <definedName name="rate_US">[2]Calculations!$P$138</definedName>
    <definedName name="RestoreList">'[2]Saved Calcs'!$A$19:$A$48</definedName>
    <definedName name="saved_data1">'[2]Data Input'!$C$16</definedName>
    <definedName name="saved_data10">'[2]Data Input'!$D$28</definedName>
    <definedName name="saved_data11">'[2]Data Input'!$D$31</definedName>
    <definedName name="saved_data12">'[2]Data Input'!$D$33</definedName>
    <definedName name="saved_data13">'[2]Data Input'!$D$34</definedName>
    <definedName name="saved_data14">'[2]Data Input'!$D$35</definedName>
    <definedName name="saved_data15">'[2]Data Input'!$D$36</definedName>
    <definedName name="saved_data16">'[2]Data Input'!$D$37</definedName>
    <definedName name="saved_data17">'[2]Data Input'!$D$45</definedName>
    <definedName name="saved_data18">'[2]Data Input'!$D$46</definedName>
    <definedName name="saved_data19">'[2]Data Input'!$D$51</definedName>
    <definedName name="saved_data2">'[2]Data Input'!$E$16</definedName>
    <definedName name="saved_data20">'[2]Data Input'!$D$52</definedName>
    <definedName name="saved_data21">'[2]Data Input'!$D$57</definedName>
    <definedName name="saved_data22">'[2]Data Input'!$D$60</definedName>
    <definedName name="saved_data23">'[2]Data Input'!$D$61</definedName>
    <definedName name="saved_data24">'[2]Data Input'!$D$62</definedName>
    <definedName name="saved_data25">'[2]Data Input'!$D$67</definedName>
    <definedName name="saved_data26">'[2]Data Input'!$D$69</definedName>
    <definedName name="saved_data27">'[2]Data Input'!$D$70</definedName>
    <definedName name="saved_data28">'[2]Data Input'!$D$71</definedName>
    <definedName name="saved_data29">'[2]Data Input'!$D$87</definedName>
    <definedName name="saved_data3">'[2]Data Input'!$C$17</definedName>
    <definedName name="saved_data30">'[2]Data Input'!$I$27</definedName>
    <definedName name="saved_data31">'[2]Data Input'!$I$46</definedName>
    <definedName name="saved_data32">'[2]Data Input'!$N$25</definedName>
    <definedName name="saved_data33">'[2]Data Input'!$N$27</definedName>
    <definedName name="saved_data34">'[2]Data Input'!$N$30</definedName>
    <definedName name="saved_data35">'[2]Data Input'!$N$31</definedName>
    <definedName name="saved_data36">'[2]Data Input'!$N$32</definedName>
    <definedName name="saved_data37">'[2]Data Input'!$N$33</definedName>
    <definedName name="saved_data38">'[2]Data Input'!$N$43</definedName>
    <definedName name="saved_data39">'[2]Data Input'!$N$44</definedName>
    <definedName name="saved_data4">'[2]Data Input'!$E$17</definedName>
    <definedName name="saved_data40">'[2]Data Input'!$N$45</definedName>
    <definedName name="saved_data41">'[2]Data Input'!$N$46</definedName>
    <definedName name="saved_data42">'[2]Data Input'!$N$47</definedName>
    <definedName name="saved_data43">'[2]Data Input'!$E$20</definedName>
    <definedName name="saved_data44">'[2]Data Input'!$D$81</definedName>
    <definedName name="saved_data45">'[2]Data Input'!$H$78</definedName>
    <definedName name="saved_data46">'[2]Data Input'!$I$78</definedName>
    <definedName name="saved_data47">'[2]Data Input'!$L$78</definedName>
    <definedName name="saved_data48">'[2]Data Input'!$H$80</definedName>
    <definedName name="saved_data49">'[2]Data Input'!$I$80</definedName>
    <definedName name="saved_data5">'[2]Data Input'!$E$18</definedName>
    <definedName name="saved_data50">'[2]Data Input'!$L$80</definedName>
    <definedName name="saved_data51">'[2]Data Tables'!$C$92</definedName>
    <definedName name="saved_data52">'[2]Data Tables'!$C$93</definedName>
    <definedName name="saved_data53">'[2]Data Tables'!$C$94</definedName>
    <definedName name="saved_data54">'[2]Data Tables'!$C$95</definedName>
    <definedName name="saved_data55">'[2]Data Tables'!$C$96</definedName>
    <definedName name="saved_data56">'[2]Data Tables'!$C$97</definedName>
    <definedName name="saved_data57">'[2]Data Tables'!$C$98</definedName>
    <definedName name="saved_data58">'[2]Data Tables'!$C$99</definedName>
    <definedName name="saved_data59">'[2]Data Tables'!$C$100</definedName>
    <definedName name="saved_data6">'[2]Data Input'!$E$19</definedName>
    <definedName name="saved_data60">'[2]Data Tables'!$C$101</definedName>
    <definedName name="saved_data61">'[2]Data Tables'!$C$102</definedName>
    <definedName name="saved_data62">'[2]Data Tables'!$C$103</definedName>
    <definedName name="saved_data63">'[2]Data Tables'!$C$104</definedName>
    <definedName name="saved_data64">'[2]Data Tables'!$C$105</definedName>
    <definedName name="saved_data65">'[2]Data Tables'!$C$106</definedName>
    <definedName name="saved_data66">'[2]Data Tables'!$C$107</definedName>
    <definedName name="saved_data67">'[2]Data Tables'!$C$108</definedName>
    <definedName name="saved_data68">'[2]Data Tables'!$C$109</definedName>
    <definedName name="saved_data69">'[2]Data Tables'!$C$110</definedName>
    <definedName name="saved_data7">'[2]Data Input'!$C$24</definedName>
    <definedName name="saved_data70">'[2]Data Tables'!$C$111</definedName>
    <definedName name="saved_data71">'[2]Data Tables'!$C$112</definedName>
    <definedName name="saved_data8">'[2]Data Input'!$D$26</definedName>
    <definedName name="saved_data9">'[2]Data Input'!$D$27</definedName>
    <definedName name="Series_Flow">'[2]Data Tables'!$C$105</definedName>
    <definedName name="Shell_material">'[2]Data Tables'!$C$94</definedName>
    <definedName name="Sidewall_Flow">'[2]Data Tables'!$C$98</definedName>
    <definedName name="Size">'[2]Data Tables'!$A$60:$A$63</definedName>
    <definedName name="Size_Index">'[2]Data Tables'!$C$107</definedName>
    <definedName name="sizes">'[2]Data Tables'!$E$60:$F$63</definedName>
    <definedName name="steam_coefficient">'[2]Data Tables'!$E$85</definedName>
    <definedName name="steam_conductivity">'[2]Data Tables'!$F$233</definedName>
    <definedName name="steam_density">'[2]Data Tables'!$F$229</definedName>
    <definedName name="steam_latent_heat">'[2]Data Tables'!$F$231</definedName>
    <definedName name="steam_pr">'[2]Data Tables'!$F$234</definedName>
    <definedName name="steam_pressure">[2]Calculations!$D$18</definedName>
    <definedName name="steam_temperature">'[2]Data Tables'!$F$228</definedName>
    <definedName name="steam_viscosity">'[2]Data Tables'!$F$232</definedName>
    <definedName name="tt">[2]Calculations!$D$50</definedName>
    <definedName name="typical_coil_length">[2]Calculations!$H$468</definedName>
    <definedName name="typical_coil_size">[2]Calculations!$H$462</definedName>
    <definedName name="unit">'[2]Data Input'!$E$18</definedName>
    <definedName name="Units">'[2]Data Tables'!$C$92</definedName>
    <definedName name="units_conv">'[2]Data Tables'!$B$18:$E$34</definedName>
    <definedName name="unitsalt">'[2]Data Tables'!$C$121</definedName>
    <definedName name="vess_visc_a">'[2]Data Input'!$R$35</definedName>
    <definedName name="vess_visc_b">'[2]Data Input'!$S$35</definedName>
    <definedName name="vess_visc_c">'[2]Data Input'!$T$35</definedName>
    <definedName name="vess_visc_use">'[2]Data Input'!$V$25</definedName>
    <definedName name="vessel_conductivity">[2]Calculations!$D$39</definedName>
    <definedName name="vessel_density">[2]Calculations!$D$41</definedName>
    <definedName name="vessel_gr">[2]Calculations!$D$93</definedName>
    <definedName name="vessel_heat">[2]Calculations!$D$40</definedName>
    <definedName name="vessel_id">[2]Calculations!$D$49</definedName>
    <definedName name="Vessel_Materials">'[2]Data Tables'!$A$40:$A$49</definedName>
    <definedName name="vessel_pr">[2]Calculations!$D$92</definedName>
    <definedName name="vessel_re">[2]Calculations!$D$91</definedName>
    <definedName name="vessel_visc_ratio">[2]Calculations!$D$94</definedName>
    <definedName name="vessel_viscosity">[2]Calculations!$D$42</definedName>
    <definedName name="wall_temp">[2]Calculations!$D$101</definedName>
    <definedName name="wo">'[2]Data Input'!$E$17</definedName>
    <definedName name="zones">'[2]Data Input'!$D$45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1" l="1"/>
  <c r="D44" i="1" l="1"/>
  <c r="D93" i="1"/>
  <c r="D92" i="1"/>
  <c r="D30" i="1"/>
  <c r="B13" i="15" l="1"/>
  <c r="L23" i="1" l="1"/>
  <c r="D120" i="1" l="1"/>
  <c r="D119" i="1"/>
  <c r="D114" i="1"/>
  <c r="D111" i="1"/>
  <c r="D109" i="1"/>
  <c r="C29" i="11"/>
  <c r="D4" i="15"/>
  <c r="D4" i="10"/>
  <c r="D6" i="15"/>
  <c r="B4" i="15"/>
  <c r="C19" i="15"/>
  <c r="C18" i="15"/>
  <c r="C13" i="15"/>
  <c r="C10" i="15"/>
  <c r="C12" i="15" s="1"/>
  <c r="D112" i="1" s="1"/>
  <c r="C49" i="15"/>
  <c r="C30" i="15"/>
  <c r="C31" i="15" s="1"/>
  <c r="C20" i="15" l="1"/>
  <c r="C46" i="15" s="1"/>
  <c r="C50" i="15" s="1"/>
  <c r="C51" i="15" s="1"/>
  <c r="D115" i="1"/>
  <c r="C30" i="11"/>
  <c r="C31" i="11" s="1"/>
  <c r="D123" i="1"/>
  <c r="D121" i="1" l="1"/>
  <c r="C14" i="15"/>
  <c r="D118" i="1" s="1"/>
  <c r="D101" i="1" l="1"/>
  <c r="D100" i="1"/>
  <c r="D89" i="1" l="1"/>
  <c r="C33" i="10" l="1"/>
  <c r="C19" i="11" l="1"/>
  <c r="C18" i="11"/>
  <c r="C19" i="10"/>
  <c r="C18" i="10"/>
  <c r="C13" i="10"/>
  <c r="B13" i="10"/>
  <c r="C10" i="10"/>
  <c r="C12" i="10" s="1"/>
  <c r="D80" i="1"/>
  <c r="D79" i="1"/>
  <c r="D68" i="1"/>
  <c r="D6" i="11"/>
  <c r="C10" i="11"/>
  <c r="C12" i="11" s="1"/>
  <c r="B13" i="11"/>
  <c r="C13" i="11"/>
  <c r="B4" i="10"/>
  <c r="B4" i="11"/>
  <c r="B4" i="5"/>
  <c r="D58" i="1"/>
  <c r="D57" i="1"/>
  <c r="D48" i="1"/>
  <c r="C27" i="5"/>
  <c r="C26" i="5"/>
  <c r="C18" i="5"/>
  <c r="C20" i="5" s="1"/>
  <c r="C55" i="5" s="1"/>
  <c r="C15" i="5"/>
  <c r="C10" i="5"/>
  <c r="C12" i="5"/>
  <c r="C17" i="5"/>
  <c r="C34" i="5" s="1"/>
  <c r="B21" i="5"/>
  <c r="C21" i="5"/>
  <c r="C19" i="5"/>
  <c r="D46" i="1" s="1"/>
  <c r="C14" i="5"/>
  <c r="C13" i="5"/>
  <c r="D90" i="1" l="1"/>
  <c r="D69" i="1"/>
  <c r="C28" i="5"/>
  <c r="C52" i="5" s="1"/>
  <c r="C20" i="10"/>
  <c r="C49" i="10" s="1"/>
  <c r="C20" i="11"/>
  <c r="C14" i="11" s="1"/>
  <c r="D77" i="1" s="1"/>
  <c r="C52" i="10"/>
  <c r="C64" i="11"/>
  <c r="D47" i="1"/>
  <c r="D50" i="1"/>
  <c r="B22" i="1"/>
  <c r="C17" i="7"/>
  <c r="E17" i="7" s="1"/>
  <c r="C14" i="10" l="1"/>
  <c r="D99" i="1" s="1"/>
  <c r="C56" i="5"/>
  <c r="C57" i="5" s="1"/>
  <c r="D61" i="1" s="1"/>
  <c r="D59" i="1"/>
  <c r="C22" i="5"/>
  <c r="D56" i="1" s="1"/>
  <c r="C53" i="10"/>
  <c r="C54" i="10" s="1"/>
  <c r="D102" i="1"/>
  <c r="C61" i="11"/>
  <c r="D78" i="1" s="1"/>
  <c r="C65" i="11" l="1"/>
  <c r="C66" i="11" s="1"/>
  <c r="D82" i="1" s="1"/>
  <c r="C38" i="11" l="1"/>
  <c r="E25" i="1" l="1"/>
  <c r="D95" i="1"/>
  <c r="D87" i="1"/>
  <c r="D104" i="1" s="1"/>
  <c r="E11" i="7" l="1"/>
  <c r="E9" i="7"/>
  <c r="E3" i="7"/>
  <c r="E21" i="7"/>
  <c r="E20" i="7"/>
  <c r="E19" i="7"/>
  <c r="E18" i="7"/>
  <c r="E12" i="7"/>
  <c r="E10" i="7"/>
  <c r="E8" i="7"/>
  <c r="E7" i="7"/>
  <c r="E4" i="7"/>
  <c r="D6" i="5" l="1"/>
  <c r="C16" i="5" l="1"/>
  <c r="D66" i="1"/>
  <c r="C37" i="11" s="1"/>
  <c r="C35" i="5" l="1"/>
  <c r="C36" i="5" s="1"/>
  <c r="D4" i="11"/>
  <c r="D4" i="5"/>
  <c r="D6" i="10"/>
  <c r="D52" i="1" l="1"/>
  <c r="C37" i="5"/>
  <c r="D53" i="1"/>
  <c r="C34" i="10"/>
  <c r="C35" i="10" s="1"/>
  <c r="D97" i="1" s="1"/>
  <c r="D96" i="1"/>
  <c r="C39" i="11"/>
  <c r="C44" i="11" s="1"/>
  <c r="C45" i="11" l="1"/>
  <c r="D73" i="1"/>
  <c r="C32" i="15"/>
  <c r="D116" i="1" s="1"/>
  <c r="C38" i="5"/>
  <c r="D54" i="1" s="1"/>
  <c r="C41" i="11"/>
  <c r="C40" i="11"/>
  <c r="C46" i="11" l="1"/>
  <c r="D74" i="1"/>
  <c r="E5" i="7"/>
  <c r="E6" i="7"/>
  <c r="E14" i="7"/>
  <c r="E13" i="7"/>
  <c r="E15" i="7"/>
  <c r="E16" i="7"/>
  <c r="E22" i="7"/>
  <c r="C47" i="11" l="1"/>
  <c r="D75" i="1" s="1"/>
  <c r="F4" i="2"/>
  <c r="F5" i="2"/>
  <c r="F6" i="2"/>
  <c r="F7" i="2"/>
  <c r="F8" i="2"/>
  <c r="F9" i="2"/>
  <c r="E4" i="2"/>
  <c r="E5" i="2"/>
  <c r="E6" i="2"/>
  <c r="D4" i="2"/>
  <c r="D5" i="2"/>
  <c r="D6" i="2"/>
  <c r="D7" i="2"/>
  <c r="D8" i="2"/>
  <c r="F37" i="2" l="1"/>
  <c r="F36" i="2"/>
  <c r="F35" i="2"/>
  <c r="F34" i="2"/>
  <c r="F33" i="2"/>
  <c r="F32" i="2"/>
  <c r="F31" i="2"/>
  <c r="F30" i="2"/>
  <c r="F29" i="2"/>
  <c r="F28" i="2"/>
  <c r="F27" i="2"/>
  <c r="F26" i="2"/>
  <c r="F25" i="2"/>
  <c r="F24" i="2"/>
  <c r="F23" i="2"/>
  <c r="F22" i="2"/>
  <c r="F21" i="2"/>
  <c r="F20" i="2"/>
  <c r="F19" i="2"/>
  <c r="F18" i="2"/>
  <c r="F17" i="2"/>
  <c r="F16" i="2"/>
  <c r="F15" i="2"/>
  <c r="F14" i="2"/>
  <c r="F13" i="2"/>
  <c r="F12" i="2"/>
  <c r="F11" i="2"/>
  <c r="F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Grant</author>
  </authors>
  <commentList>
    <comment ref="D14" authorId="0" shapeId="0" xr:uid="{00000000-0006-0000-0000-000001000000}">
      <text>
        <r>
          <rPr>
            <b/>
            <sz val="9"/>
            <color indexed="81"/>
            <rFont val="Tahoma"/>
            <family val="2"/>
          </rPr>
          <t>Patrick Grant:</t>
        </r>
        <r>
          <rPr>
            <sz val="9"/>
            <color indexed="81"/>
            <rFont val="Tahoma"/>
            <family val="2"/>
          </rPr>
          <t xml:space="preserve">
If no CRN use 14.9 psig max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Yene Irvine</author>
  </authors>
  <commentList>
    <comment ref="C37" authorId="0" shapeId="0" xr:uid="{B2273D48-8668-49E2-ADAB-C3E95638D2DC}">
      <text>
        <r>
          <rPr>
            <sz val="9"/>
            <color indexed="81"/>
            <rFont val="Tahoma"/>
            <family val="2"/>
          </rPr>
          <t xml:space="preserve">From NFPA 30.B.3, CFH = 70.5*Q / (L*M^0.5)
</t>
        </r>
      </text>
    </comment>
  </commentList>
</comments>
</file>

<file path=xl/sharedStrings.xml><?xml version="1.0" encoding="utf-8"?>
<sst xmlns="http://schemas.openxmlformats.org/spreadsheetml/2006/main" count="585" uniqueCount="221">
  <si>
    <t>Vessel Design MAWP (psig)</t>
  </si>
  <si>
    <t>Description</t>
  </si>
  <si>
    <t>Nitrogen Control Failure</t>
  </si>
  <si>
    <t>Vessel Construction Code</t>
  </si>
  <si>
    <t>Scenario Applicable</t>
  </si>
  <si>
    <t>ASME VIII</t>
  </si>
  <si>
    <t>Applicable Fire Code for Heat Input Calc.</t>
  </si>
  <si>
    <t>No</t>
  </si>
  <si>
    <t>External Fire</t>
  </si>
  <si>
    <t>Fluid</t>
  </si>
  <si>
    <t>Comments</t>
  </si>
  <si>
    <t>Manufacturing Range Overpressure</t>
  </si>
  <si>
    <t xml:space="preserve">Burst Tolerance Overpressure </t>
  </si>
  <si>
    <t>Maximum Disk Rupture Pressure</t>
  </si>
  <si>
    <t>Diameter (in)</t>
  </si>
  <si>
    <t>2:1 Elliptical</t>
  </si>
  <si>
    <t>ASME F&amp;D</t>
  </si>
  <si>
    <t>Hemispherical</t>
  </si>
  <si>
    <t>Flat</t>
  </si>
  <si>
    <t>Head Type</t>
  </si>
  <si>
    <t>Heptane</t>
  </si>
  <si>
    <t>Nitrogen</t>
  </si>
  <si>
    <t>No.</t>
  </si>
  <si>
    <t>Date</t>
  </si>
  <si>
    <t>By</t>
  </si>
  <si>
    <t>Mass Flow Rate</t>
  </si>
  <si>
    <t>Case 1 - External Fire</t>
  </si>
  <si>
    <t>Value</t>
  </si>
  <si>
    <t>inches</t>
  </si>
  <si>
    <t>Straight Side Height</t>
  </si>
  <si>
    <t>Vessel Design MAWP</t>
  </si>
  <si>
    <t>% of MAWP</t>
  </si>
  <si>
    <t>Units</t>
  </si>
  <si>
    <t>Maximum Allowed Venting Pressure</t>
  </si>
  <si>
    <t>Calculated Relieving Flow</t>
  </si>
  <si>
    <t>ASME VIII Design Relieving Flow</t>
  </si>
  <si>
    <t>Maximum Allowable Backpressure</t>
  </si>
  <si>
    <t>Calculated Back Pressure</t>
  </si>
  <si>
    <t>Maximum Vessel Internal Relieving Pressure</t>
  </si>
  <si>
    <t>Steady-state Vessel Internal Pressure</t>
  </si>
  <si>
    <t>Working Fluid</t>
  </si>
  <si>
    <t xml:space="preserve">ASME VIII Design Relieving Flow </t>
  </si>
  <si>
    <t>Cases Considered</t>
  </si>
  <si>
    <t>psig</t>
  </si>
  <si>
    <t>Manufacturer</t>
  </si>
  <si>
    <t>Model</t>
  </si>
  <si>
    <t>Size</t>
  </si>
  <si>
    <t>K Value</t>
  </si>
  <si>
    <t>psia</t>
  </si>
  <si>
    <t>Specific Gravity</t>
  </si>
  <si>
    <t>Density</t>
  </si>
  <si>
    <t>Acetone</t>
  </si>
  <si>
    <t>Air</t>
  </si>
  <si>
    <t>Methanol</t>
  </si>
  <si>
    <t>Methylene Chloride</t>
  </si>
  <si>
    <t>Water</t>
  </si>
  <si>
    <t>Hexane</t>
  </si>
  <si>
    <t>Tag</t>
  </si>
  <si>
    <t>Total Fire Exposed Area</t>
  </si>
  <si>
    <t>Max. Recommended Operating Pressure</t>
  </si>
  <si>
    <t>NFPA 30</t>
  </si>
  <si>
    <t>Vessel Tag</t>
  </si>
  <si>
    <t>Heat Input Formula</t>
  </si>
  <si>
    <t>20-200</t>
  </si>
  <si>
    <t>20,000A</t>
  </si>
  <si>
    <t>200-1000</t>
  </si>
  <si>
    <t>1000-2800</t>
  </si>
  <si>
    <t>&gt;2800</t>
  </si>
  <si>
    <r>
      <t>199,300A</t>
    </r>
    <r>
      <rPr>
        <vertAlign val="superscript"/>
        <sz val="10"/>
        <color theme="1"/>
        <rFont val="Lato"/>
      </rPr>
      <t>0.566</t>
    </r>
  </si>
  <si>
    <r>
      <t>963,400A</t>
    </r>
    <r>
      <rPr>
        <vertAlign val="superscript"/>
        <sz val="10"/>
        <color theme="1"/>
        <rFont val="Lato"/>
      </rPr>
      <t>0.338</t>
    </r>
  </si>
  <si>
    <r>
      <t>21,000A</t>
    </r>
    <r>
      <rPr>
        <vertAlign val="superscript"/>
        <sz val="10"/>
        <color theme="1"/>
        <rFont val="Lato"/>
      </rPr>
      <t>0.82</t>
    </r>
  </si>
  <si>
    <t xml:space="preserve">Area [sq. ft] </t>
  </si>
  <si>
    <t>NFPA 30 (2018) Formulas</t>
  </si>
  <si>
    <t>API 521 (2000) Formulas</t>
  </si>
  <si>
    <r>
      <t>q = 21,000FA</t>
    </r>
    <r>
      <rPr>
        <vertAlign val="superscript"/>
        <sz val="10"/>
        <color theme="1"/>
        <rFont val="Lato"/>
      </rPr>
      <t>-0.18</t>
    </r>
  </si>
  <si>
    <r>
      <t>Q = 21,000FA</t>
    </r>
    <r>
      <rPr>
        <vertAlign val="superscript"/>
        <sz val="10"/>
        <color theme="1"/>
        <rFont val="Lato"/>
      </rPr>
      <t>0.82</t>
    </r>
  </si>
  <si>
    <t>lb/hr</t>
  </si>
  <si>
    <t>Split Exchanger Tube</t>
  </si>
  <si>
    <t>Calculated Relieving Flow (from FluidFlow)</t>
  </si>
  <si>
    <t>ASME VIII Relieving Flow</t>
  </si>
  <si>
    <t>Maximum Allowed Venting Pressure %</t>
  </si>
  <si>
    <t>Fluid (Tube side)</t>
  </si>
  <si>
    <t>Fluid (Shell side)</t>
  </si>
  <si>
    <t>∆P</t>
  </si>
  <si>
    <t>Area (square feet)</t>
  </si>
  <si>
    <r>
      <t xml:space="preserve">Q = 30.5 × Cv </t>
    </r>
    <r>
      <rPr>
        <sz val="9"/>
        <color theme="1"/>
        <rFont val="Calibri"/>
        <family val="2"/>
      </rPr>
      <t>×</t>
    </r>
    <r>
      <rPr>
        <sz val="9"/>
        <color theme="1"/>
        <rFont val="Lato"/>
      </rPr>
      <t xml:space="preserve"> P</t>
    </r>
    <r>
      <rPr>
        <vertAlign val="subscript"/>
        <sz val="9"/>
        <color theme="1"/>
        <rFont val="Lato"/>
      </rPr>
      <t>in</t>
    </r>
    <r>
      <rPr>
        <sz val="9"/>
        <color theme="1"/>
        <rFont val="Lato"/>
      </rPr>
      <t xml:space="preserve"> / (SG)</t>
    </r>
    <r>
      <rPr>
        <vertAlign val="superscript"/>
        <sz val="9"/>
        <color theme="1"/>
        <rFont val="Lato"/>
      </rPr>
      <t>1/2</t>
    </r>
  </si>
  <si>
    <r>
      <t xml:space="preserve">Q = 61 × Cv </t>
    </r>
    <r>
      <rPr>
        <sz val="9"/>
        <color theme="1"/>
        <rFont val="Calibri"/>
        <family val="2"/>
      </rPr>
      <t>×</t>
    </r>
    <r>
      <rPr>
        <sz val="9"/>
        <color theme="1"/>
        <rFont val="Lato"/>
      </rPr>
      <t xml:space="preserve"> (</t>
    </r>
    <r>
      <rPr>
        <sz val="9"/>
        <color theme="1"/>
        <rFont val="Leelawadee"/>
        <family val="2"/>
        <charset val="222"/>
      </rPr>
      <t>∆</t>
    </r>
    <r>
      <rPr>
        <sz val="9"/>
        <color theme="1"/>
        <rFont val="Lato"/>
      </rPr>
      <t>P × P</t>
    </r>
    <r>
      <rPr>
        <vertAlign val="subscript"/>
        <sz val="9"/>
        <color theme="1"/>
        <rFont val="Lato"/>
      </rPr>
      <t>out</t>
    </r>
    <r>
      <rPr>
        <sz val="9"/>
        <color theme="1"/>
        <rFont val="Lato"/>
      </rPr>
      <t xml:space="preserve"> / SG)</t>
    </r>
    <r>
      <rPr>
        <vertAlign val="superscript"/>
        <sz val="9"/>
        <color theme="1"/>
        <rFont val="Lato"/>
      </rPr>
      <t>1/2</t>
    </r>
  </si>
  <si>
    <r>
      <t>P</t>
    </r>
    <r>
      <rPr>
        <vertAlign val="subscript"/>
        <sz val="10"/>
        <color theme="1"/>
        <rFont val="Lato"/>
      </rPr>
      <t>in</t>
    </r>
  </si>
  <si>
    <r>
      <t>P</t>
    </r>
    <r>
      <rPr>
        <vertAlign val="subscript"/>
        <sz val="10"/>
        <color theme="1"/>
        <rFont val="Lato"/>
      </rPr>
      <t>out</t>
    </r>
  </si>
  <si>
    <r>
      <t>Total C</t>
    </r>
    <r>
      <rPr>
        <vertAlign val="subscript"/>
        <sz val="10"/>
        <color theme="1"/>
        <rFont val="Lato"/>
      </rPr>
      <t>v</t>
    </r>
  </si>
  <si>
    <r>
      <t>P</t>
    </r>
    <r>
      <rPr>
        <vertAlign val="subscript"/>
        <sz val="10"/>
        <color theme="1"/>
        <rFont val="Lato"/>
      </rPr>
      <t>out</t>
    </r>
    <r>
      <rPr>
        <sz val="10"/>
        <color theme="1"/>
        <rFont val="Lato"/>
        <family val="2"/>
      </rPr>
      <t xml:space="preserve"> &gt; 0.53 </t>
    </r>
    <r>
      <rPr>
        <sz val="10"/>
        <color theme="1"/>
        <rFont val="Calibri"/>
        <family val="2"/>
      </rPr>
      <t xml:space="preserve">× </t>
    </r>
    <r>
      <rPr>
        <sz val="10"/>
        <color theme="1"/>
        <rFont val="Lato"/>
        <family val="2"/>
      </rPr>
      <t>P</t>
    </r>
    <r>
      <rPr>
        <vertAlign val="subscript"/>
        <sz val="10"/>
        <color theme="1"/>
        <rFont val="Lato"/>
      </rPr>
      <t>in</t>
    </r>
    <r>
      <rPr>
        <sz val="10"/>
        <color theme="1"/>
        <rFont val="Lato"/>
        <family val="2"/>
      </rPr>
      <t>?</t>
    </r>
  </si>
  <si>
    <r>
      <t>P</t>
    </r>
    <r>
      <rPr>
        <vertAlign val="subscript"/>
        <sz val="9"/>
        <color theme="1"/>
        <rFont val="Lato"/>
      </rPr>
      <t>out</t>
    </r>
    <r>
      <rPr>
        <sz val="9"/>
        <color theme="1"/>
        <rFont val="Lato"/>
        <family val="2"/>
      </rPr>
      <t xml:space="preserve"> &gt; 0.53 </t>
    </r>
    <r>
      <rPr>
        <sz val="9"/>
        <color theme="1"/>
        <rFont val="Calibri"/>
        <family val="2"/>
      </rPr>
      <t xml:space="preserve">× </t>
    </r>
    <r>
      <rPr>
        <sz val="9"/>
        <color theme="1"/>
        <rFont val="Lato"/>
        <family val="2"/>
      </rPr>
      <t>P</t>
    </r>
    <r>
      <rPr>
        <vertAlign val="subscript"/>
        <sz val="9"/>
        <color theme="1"/>
        <rFont val="Lato"/>
      </rPr>
      <t>in</t>
    </r>
  </si>
  <si>
    <r>
      <t>P</t>
    </r>
    <r>
      <rPr>
        <vertAlign val="subscript"/>
        <sz val="9"/>
        <color theme="1"/>
        <rFont val="Lato"/>
      </rPr>
      <t>out</t>
    </r>
    <r>
      <rPr>
        <sz val="9"/>
        <color theme="1"/>
        <rFont val="Lato"/>
        <family val="2"/>
      </rPr>
      <t xml:space="preserve"> &lt; 0.53 </t>
    </r>
    <r>
      <rPr>
        <sz val="9"/>
        <color theme="1"/>
        <rFont val="Calibri"/>
        <family val="2"/>
      </rPr>
      <t xml:space="preserve">× </t>
    </r>
    <r>
      <rPr>
        <sz val="9"/>
        <color theme="1"/>
        <rFont val="Lato"/>
        <family val="2"/>
      </rPr>
      <t>P</t>
    </r>
    <r>
      <rPr>
        <vertAlign val="subscript"/>
        <sz val="9"/>
        <color theme="1"/>
        <rFont val="Lato"/>
      </rPr>
      <t>in</t>
    </r>
  </si>
  <si>
    <t>Flow Formulas</t>
  </si>
  <si>
    <t>OD</t>
  </si>
  <si>
    <r>
      <t xml:space="preserve">Heat of Vaporization, </t>
    </r>
    <r>
      <rPr>
        <i/>
        <sz val="11"/>
        <color theme="1"/>
        <rFont val="Lato"/>
      </rPr>
      <t>L</t>
    </r>
    <r>
      <rPr>
        <sz val="11"/>
        <color theme="1"/>
        <rFont val="Lato"/>
      </rPr>
      <t xml:space="preserve"> (btu/lb)</t>
    </r>
  </si>
  <si>
    <r>
      <t xml:space="preserve">Molecular Weight, </t>
    </r>
    <r>
      <rPr>
        <i/>
        <sz val="11"/>
        <color theme="1"/>
        <rFont val="Lato"/>
      </rPr>
      <t xml:space="preserve">M </t>
    </r>
  </si>
  <si>
    <r>
      <t xml:space="preserve">L </t>
    </r>
    <r>
      <rPr>
        <sz val="11"/>
        <color theme="1"/>
        <rFont val="Calibri"/>
        <family val="2"/>
      </rPr>
      <t>× (</t>
    </r>
    <r>
      <rPr>
        <sz val="11"/>
        <color theme="1"/>
        <rFont val="Lato"/>
      </rPr>
      <t>M</t>
    </r>
    <r>
      <rPr>
        <vertAlign val="superscript"/>
        <sz val="11"/>
        <color theme="1"/>
        <rFont val="Lato"/>
      </rPr>
      <t>1/2</t>
    </r>
    <r>
      <rPr>
        <sz val="11"/>
        <color theme="1"/>
        <rFont val="Lato"/>
      </rPr>
      <t>)</t>
    </r>
  </si>
  <si>
    <t>Case 1: External Fire</t>
  </si>
  <si>
    <t>Click here for templates folder</t>
  </si>
  <si>
    <t>Vessel Information</t>
  </si>
  <si>
    <t>Vessel Safety Relief Data Summary</t>
  </si>
  <si>
    <t>Vessel Properties</t>
  </si>
  <si>
    <t>A template on FluidFlow is available in the folder linked below (file-name: Case 1 External Fire Template).</t>
  </si>
  <si>
    <t>Acceptable?</t>
  </si>
  <si>
    <t>Note: you may have to open FluidFlow software first and then open the file from there</t>
  </si>
  <si>
    <r>
      <t>lb/ft</t>
    </r>
    <r>
      <rPr>
        <vertAlign val="superscript"/>
        <sz val="10"/>
        <color theme="1"/>
        <rFont val="Lato"/>
      </rPr>
      <t>3</t>
    </r>
  </si>
  <si>
    <t>Conditions Acceptable?</t>
  </si>
  <si>
    <t>Benzene</t>
  </si>
  <si>
    <t>Cyclohexane</t>
  </si>
  <si>
    <t>Acetic acid</t>
  </si>
  <si>
    <t>Gasoline</t>
  </si>
  <si>
    <t>Ethanol</t>
  </si>
  <si>
    <t>Octane</t>
  </si>
  <si>
    <t>Pentane</t>
  </si>
  <si>
    <t>Toluene</t>
  </si>
  <si>
    <t>Vinyl acetate</t>
  </si>
  <si>
    <t>Dimethylamine</t>
  </si>
  <si>
    <t>Ethyl acetate</t>
  </si>
  <si>
    <t>Acetaldehyde</t>
  </si>
  <si>
    <t>Flow Calculations</t>
  </si>
  <si>
    <t>Type</t>
  </si>
  <si>
    <t>Rupture Disc Properties</t>
  </si>
  <si>
    <t>pph</t>
  </si>
  <si>
    <t>Relief Device Information</t>
  </si>
  <si>
    <t>sq. ft.</t>
  </si>
  <si>
    <t>Burst Tolerance Overpressure %</t>
  </si>
  <si>
    <t>Manufacturing Range Overpressure %</t>
  </si>
  <si>
    <t>Yes</t>
  </si>
  <si>
    <t>Case 2: Nitrogen Control Failure</t>
  </si>
  <si>
    <t>Case 3: Split Exchanger Tube</t>
  </si>
  <si>
    <t>Case 2 - Nitrogen Control Failure</t>
  </si>
  <si>
    <t>Case 4 - Liquid Overfill</t>
  </si>
  <si>
    <t>Case 3 - Split Exchanger Tube</t>
  </si>
  <si>
    <t>Case 5 - Heating/Cooling Control Failure</t>
  </si>
  <si>
    <t>Case 6 - Jacket/Pipecoil Rupture to Vessel</t>
  </si>
  <si>
    <t>Case 7 - Vacuum</t>
  </si>
  <si>
    <t>Equivalent Air Flow</t>
  </si>
  <si>
    <t>SCFH</t>
  </si>
  <si>
    <t>in.</t>
  </si>
  <si>
    <t>sq. ft</t>
  </si>
  <si>
    <t>Btu/lb</t>
  </si>
  <si>
    <t xml:space="preserve">Maximum Disc Rupture Pressure </t>
  </si>
  <si>
    <t xml:space="preserve">Equivalent Air Flow </t>
  </si>
  <si>
    <t xml:space="preserve">Calculated Relieving Flow </t>
  </si>
  <si>
    <t>Heat of vaporization</t>
  </si>
  <si>
    <t>Approximate Relieving Temperature</t>
  </si>
  <si>
    <t xml:space="preserve">Max. Allowed Venting Pressure </t>
  </si>
  <si>
    <t>Max. Allowed Backpressure</t>
  </si>
  <si>
    <t xml:space="preserve">Vessel Design MAWP </t>
  </si>
  <si>
    <t>Fire Exposed Area</t>
  </si>
  <si>
    <t>Vessel Diameter (d)</t>
  </si>
  <si>
    <t xml:space="preserve">Straight Side Height(H) </t>
  </si>
  <si>
    <r>
      <rPr>
        <sz val="10"/>
        <color theme="1"/>
        <rFont val="Leelawadee"/>
        <family val="2"/>
      </rPr>
      <t>°</t>
    </r>
    <r>
      <rPr>
        <sz val="10"/>
        <color theme="1"/>
        <rFont val="Lato"/>
      </rPr>
      <t>F</t>
    </r>
  </si>
  <si>
    <t>Calculate the ASME VIII Design Relieving Flow for every other applicable case before proceeding beyond this point.</t>
  </si>
  <si>
    <t>Results from FluidFlow</t>
  </si>
  <si>
    <t>Max. Allowable Backpressure</t>
  </si>
  <si>
    <t>* if adequate drainage and firefighting equipment do not exist</t>
  </si>
  <si>
    <r>
      <t>Q = 34,500FA</t>
    </r>
    <r>
      <rPr>
        <vertAlign val="superscript"/>
        <sz val="10"/>
        <color theme="1"/>
        <rFont val="Lato"/>
      </rPr>
      <t>0.82</t>
    </r>
    <r>
      <rPr>
        <sz val="10"/>
        <color theme="1"/>
        <rFont val="Lato"/>
      </rPr>
      <t>*</t>
    </r>
  </si>
  <si>
    <t>Met Conditions</t>
  </si>
  <si>
    <t>Project</t>
  </si>
  <si>
    <t>Project No.</t>
  </si>
  <si>
    <t>Revisions</t>
  </si>
  <si>
    <t>Vessel Description</t>
  </si>
  <si>
    <t>Liquid Overfill</t>
  </si>
  <si>
    <t>Max. Allowed Venting Pressure %</t>
  </si>
  <si>
    <t>General Comments</t>
  </si>
  <si>
    <t>Max. Disc Rupture Pressure (psig)</t>
  </si>
  <si>
    <t>The model should input the ASME VIII Design Relieving Flow into the 'design flow' field on FluidFlow (remember to ensure units in FluidFlow are correct).</t>
  </si>
  <si>
    <t xml:space="preserve">Max. Vessel Internal Relieving Pressure </t>
  </si>
  <si>
    <t>Steady-state vessel pressure low enough?</t>
  </si>
  <si>
    <t>Max vessel relieving pressure low enough?</t>
  </si>
  <si>
    <r>
      <t xml:space="preserve">If, after calculating the ASME VIII Design Relieving Flow for every other applicable case, this is determined to </t>
    </r>
    <r>
      <rPr>
        <b/>
        <i/>
        <sz val="11"/>
        <color theme="1"/>
        <rFont val="Lato"/>
      </rPr>
      <t>not</t>
    </r>
    <r>
      <rPr>
        <sz val="11"/>
        <color theme="1"/>
        <rFont val="Lato"/>
      </rPr>
      <t xml:space="preserve"> be the Design Basis Flow, then no further calculating or modelling is necessary for this specific case.</t>
    </r>
  </si>
  <si>
    <t>A template on FluidFlow is available in the folder linked below (file-name: Case 2 Nitrogen Cntrl Fail Template).</t>
  </si>
  <si>
    <r>
      <t xml:space="preserve">If, after calculating the ASME VIII Design Relieving Flow for every other applicable case, this </t>
    </r>
    <r>
      <rPr>
        <b/>
        <i/>
        <sz val="11"/>
        <color theme="1"/>
        <rFont val="Lato"/>
      </rPr>
      <t>is</t>
    </r>
    <r>
      <rPr>
        <sz val="11"/>
        <color theme="1"/>
        <rFont val="Lato"/>
      </rPr>
      <t xml:space="preserve"> determined to be the Design Basis Flow, you will need to model the relief line on FluidFlow or another dynamic fluid modelling software and input the results below.</t>
    </r>
  </si>
  <si>
    <t>Conditions acceptable?</t>
  </si>
  <si>
    <t xml:space="preserve">Max Vessel Internal Relieving Pressure </t>
  </si>
  <si>
    <t>Step 1.5: fill in calculated relieving flow from Step 1</t>
  </si>
  <si>
    <t>This case can be evaluated on FluidFlow using the template in the folder linked below (file-name: Case 3 Step 1 Split Exchanger Tube Template).</t>
  </si>
  <si>
    <t>Calculate the ASME VIII Design Relieving Flow for every other applicable case before proceeding to Step 2.</t>
  </si>
  <si>
    <r>
      <t xml:space="preserve">If, after calculating the ASME VIII Design Relieving Flow for every other applicable case, this </t>
    </r>
    <r>
      <rPr>
        <b/>
        <i/>
        <sz val="11"/>
        <color theme="1"/>
        <rFont val="Lato"/>
      </rPr>
      <t>is</t>
    </r>
    <r>
      <rPr>
        <sz val="11"/>
        <color theme="1"/>
        <rFont val="Lato"/>
      </rPr>
      <t xml:space="preserve"> determined to be the Design Basis Flow, you will need to model the relief line on FluidFlow (Step 2) or another dynamic fluid modelling software and input the results below.</t>
    </r>
  </si>
  <si>
    <t>A template on FluidFlow is available in the folder linked below (file-name: Case 3 Step 2 Split Exchanger Tube Template).</t>
  </si>
  <si>
    <t>Is this the Design Basis Flow?</t>
  </si>
  <si>
    <t>Results from FluidFlow Step 1</t>
  </si>
  <si>
    <t>After completing Step 1 on FluidFlow and determining the relieving flow, fill in results below.</t>
  </si>
  <si>
    <t>Results from FluidFlow Step 2</t>
  </si>
  <si>
    <t>For more information on this kind of scenario, see API RP 521 Section 3.18</t>
  </si>
  <si>
    <t>For more information on this kind of scenario, see NFPA 30 or API RP 521 Section 3.15</t>
  </si>
  <si>
    <t xml:space="preserve">For more information on this kind of scenario, see API RP 521 </t>
  </si>
  <si>
    <t xml:space="preserve">Max. Disc Rupture Pressure </t>
  </si>
  <si>
    <t>of MAWP</t>
  </si>
  <si>
    <t>Any revisions made to this template should be described on this sheet.</t>
  </si>
  <si>
    <t>YI</t>
  </si>
  <si>
    <t>Revision No.</t>
  </si>
  <si>
    <t>Note: This Spreadsheet relies on conditional cell-location-reliant macros and conditional formatting that can be rendered problematic if certain cells are edited. Contact Yene if you intend to make any significant changes to pre-existing cells. Creation of new cases/worksheets shouldn't be an issue at all in this regard.</t>
  </si>
  <si>
    <t>These fields (Manufacturing Range Overpressure, Burst Tolerance Overpressure, Max Recommended Operating Pressure) are pre-filled to standard values but can be changed if necessary. Upon completing this analysis and selecting a specific rupture disc, you can update these values and re-check the analysis results.</t>
  </si>
  <si>
    <t>A template on FluidFlow is available in the folder linked below (file-name: Relief Line Template).</t>
  </si>
  <si>
    <t>Determine the maximum flow of liquid that could credibly fill the tank if a neighboring valve fails, either based on the capacity of a directly connected pump (most common method), the presure differential between the tank and some other directly connected point A, or by some other realistic means. Input this flow below.</t>
  </si>
  <si>
    <t>Manually input flow?</t>
  </si>
  <si>
    <t>Manual Flow Input</t>
  </si>
  <si>
    <r>
      <t xml:space="preserve">From this point, you can either calculate the mass flow rate based on the total flow coefficient (Cv) and pressure differential between the Nitrogen feed and the vessel of concern using the </t>
    </r>
    <r>
      <rPr>
        <i/>
        <sz val="10.5"/>
        <color theme="1"/>
        <rFont val="Lato"/>
      </rPr>
      <t>Flow Calculations</t>
    </r>
    <r>
      <rPr>
        <sz val="10.5"/>
        <color theme="1"/>
        <rFont val="Lato"/>
      </rPr>
      <t xml:space="preserve"> table, </t>
    </r>
    <r>
      <rPr>
        <i/>
        <sz val="10.5"/>
        <color theme="1"/>
        <rFont val="Lato"/>
      </rPr>
      <t>or</t>
    </r>
    <r>
      <rPr>
        <sz val="10.5"/>
        <color theme="1"/>
        <rFont val="Lato"/>
      </rPr>
      <t xml:space="preserve"> you can manually input the mass flow rate in the </t>
    </r>
    <r>
      <rPr>
        <i/>
        <sz val="10.5"/>
        <color theme="1"/>
        <rFont val="Lato"/>
      </rPr>
      <t>Manual Flow Input</t>
    </r>
    <r>
      <rPr>
        <sz val="10.5"/>
        <color theme="1"/>
        <rFont val="Lato"/>
      </rPr>
      <t xml:space="preserve"> table directly below if it is already known after selecting "Yes" in the prompt, thus bypassing the </t>
    </r>
    <r>
      <rPr>
        <i/>
        <sz val="10.5"/>
        <color theme="1"/>
        <rFont val="Lato"/>
      </rPr>
      <t>Flow Calculations</t>
    </r>
    <r>
      <rPr>
        <sz val="10.5"/>
        <color theme="1"/>
        <rFont val="Lato"/>
      </rPr>
      <t xml:space="preserve"> table.</t>
    </r>
  </si>
  <si>
    <t>Case 4: Liquid Overfill</t>
  </si>
  <si>
    <r>
      <t xml:space="preserve">Select </t>
    </r>
    <r>
      <rPr>
        <b/>
        <sz val="12"/>
        <color theme="1"/>
        <rFont val="Lato"/>
      </rPr>
      <t>"Yes"</t>
    </r>
    <r>
      <rPr>
        <sz val="12"/>
        <color theme="1"/>
        <rFont val="Lato"/>
      </rPr>
      <t xml:space="preserve"> for each scenario you plan to consider and perform calculations / model for, and relevant fields and parameters will become visible below. After inputting the necessary fields on this page, you can proceed to input fields on the worksheet(s) that correspond to each case to be considered.</t>
    </r>
  </si>
  <si>
    <t>Vessel Diameter (OD)</t>
  </si>
  <si>
    <t>If dealing with a mixture of fluids in which both fluids are present in significant quantities (i.e. more than trace amounts), select the Working Fluid that generates a higher Equivalent Air Flow (still using the Calculated Relieving Flow of the mixture).</t>
  </si>
  <si>
    <r>
      <t xml:space="preserve">To use this template effectively, fill in all inputs (orange cells), first on this Summary sheet and then on each relevant case-specific sheet, going from left to right and top to bottom. Remember to additionally fill in project info at the top of this page.
The ASME VII Design Relieving Flow will be calculated for each applicable case, and from this, the Design Basis Flow (which represents the flow-rate and associated
fluid that necessitates the most overpressure protection among the applicable cases) will be automatically calculated. The required rupture disc / relief valve size will be determined on FluidFlow based on this Design Basis Flow.                                                                                                                                                                                            </t>
    </r>
    <r>
      <rPr>
        <sz val="10"/>
        <color rgb="FFDDEECE"/>
        <rFont val="Lato"/>
      </rPr>
      <t>.</t>
    </r>
    <r>
      <rPr>
        <sz val="12"/>
        <color theme="1"/>
        <rFont val="Lato"/>
      </rPr>
      <t xml:space="preserve">                                                                                                                                                             </t>
    </r>
    <r>
      <rPr>
        <b/>
        <sz val="12"/>
        <color theme="1"/>
        <rFont val="Lato"/>
      </rPr>
      <t>This is a user-friendly template, but it's important to read through all instructions and guidelines carefully to obtain meaningful results efficiently.</t>
    </r>
    <r>
      <rPr>
        <sz val="12"/>
        <color theme="1"/>
        <rFont val="Lato"/>
      </rPr>
      <t xml:space="preserve">                                                                                                                                                     </t>
    </r>
    <r>
      <rPr>
        <sz val="12"/>
        <color rgb="FFDDEEC8"/>
        <rFont val="Lato"/>
      </rPr>
      <t>.</t>
    </r>
    <r>
      <rPr>
        <sz val="12"/>
        <color theme="1"/>
        <rFont val="Lato"/>
      </rPr>
      <t xml:space="preserve">                                                                                                                                                         Contact yene@mcaconsultants.ca for any questions/concerns.</t>
    </r>
  </si>
  <si>
    <t>General guidelines and instructions</t>
  </si>
  <si>
    <r>
      <t xml:space="preserve">Select </t>
    </r>
    <r>
      <rPr>
        <b/>
        <sz val="12"/>
        <color theme="1"/>
        <rFont val="Lato"/>
      </rPr>
      <t>"Yes"</t>
    </r>
    <r>
      <rPr>
        <sz val="12"/>
        <color theme="1"/>
        <rFont val="Lato"/>
      </rPr>
      <t xml:space="preserve"> if the scenario is applicable and relevant fields and parameters will become visible.</t>
    </r>
  </si>
  <si>
    <t xml:space="preserve">Created template with 4 fully functional cases (1-4). LOTS of macros going on. </t>
  </si>
  <si>
    <t>Rupture Disc</t>
  </si>
  <si>
    <r>
      <t xml:space="preserve">If, after calculating the ASME VIII Design Relieving Flow for every other applicable case, this is determined to </t>
    </r>
    <r>
      <rPr>
        <i/>
        <sz val="11"/>
        <color theme="1"/>
        <rFont val="Lato"/>
      </rPr>
      <t>not</t>
    </r>
    <r>
      <rPr>
        <sz val="11"/>
        <color theme="1"/>
        <rFont val="Lato"/>
      </rPr>
      <t xml:space="preserve"> be the Design Basis Flow, then no further calculating or modelling is necessary for this specific case.</t>
    </r>
  </si>
  <si>
    <t>Calculated Superimposed Back Pressure</t>
  </si>
  <si>
    <t>4-make the case specific sheets print-ready</t>
  </si>
  <si>
    <t>3-is built up backpressure low enough for this specific valve? Need to do research. Crosby, green book</t>
  </si>
  <si>
    <t>1-adequate drainage/firefighting option must exist for Q</t>
  </si>
  <si>
    <t>Addressing Ross's comments (currently in progress)</t>
  </si>
  <si>
    <t>5-UPDATE VBA CODE TO MAKE SURE REFERENCES TO CELLS/ROWS WORK</t>
  </si>
  <si>
    <t>6-FluidFlow templates - Rupture Disc and Relief Valve templates; get the naming of cases consistent and put templates in organized places</t>
  </si>
  <si>
    <t>Revision 1 to-do list (Yene)</t>
  </si>
  <si>
    <t>2-'is superimposed backpressure low enough' condition, probably use the current calc. backpressure cell</t>
  </si>
  <si>
    <t xml:space="preserve">          3.5 - this will likely necessitate inputting the valve size and/or orifice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</si>
</sst>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409]mmmm\ d\,\ yyyy;@"/>
    <numFmt numFmtId="166" formatCode="0.0%"/>
    <numFmt numFmtId="167" formatCode="&quot;$&quot;#,##0.00"/>
    <numFmt numFmtId="168" formatCode="yyyy/mm/dd;@"/>
  </numFmts>
  <fonts count="71" x14ac:knownFonts="1">
    <font>
      <sz val="11"/>
      <color theme="1"/>
      <name val="Calibri"/>
      <family val="2"/>
      <scheme val="minor"/>
    </font>
    <font>
      <sz val="11"/>
      <color theme="1"/>
      <name val="Lato"/>
      <family val="2"/>
    </font>
    <font>
      <b/>
      <sz val="11"/>
      <color theme="1"/>
      <name val="Lato"/>
      <family val="2"/>
    </font>
    <font>
      <sz val="10"/>
      <name val="Lato"/>
      <family val="2"/>
    </font>
    <font>
      <sz val="9"/>
      <color indexed="81"/>
      <name val="Tahoma"/>
      <family val="2"/>
    </font>
    <font>
      <b/>
      <sz val="9"/>
      <color indexed="81"/>
      <name val="Tahoma"/>
      <family val="2"/>
    </font>
    <font>
      <b/>
      <sz val="20"/>
      <color indexed="23"/>
      <name val="Lato"/>
      <family val="2"/>
    </font>
    <font>
      <sz val="10"/>
      <name val="Times New Roman"/>
      <family val="1"/>
    </font>
    <font>
      <sz val="10"/>
      <name val="Geneva"/>
      <family val="2"/>
    </font>
    <font>
      <sz val="10"/>
      <name val="Geneva"/>
      <family val="2"/>
    </font>
    <font>
      <sz val="10"/>
      <color rgb="FF3F3F76"/>
      <name val="Lato"/>
      <family val="2"/>
    </font>
    <font>
      <sz val="11"/>
      <color theme="1"/>
      <name val="Calibri"/>
      <family val="2"/>
      <scheme val="minor"/>
    </font>
    <font>
      <sz val="11"/>
      <color theme="1"/>
      <name val="Lato"/>
      <family val="2"/>
    </font>
    <font>
      <b/>
      <sz val="12"/>
      <color theme="1"/>
      <name val="Lato"/>
      <family val="2"/>
    </font>
    <font>
      <sz val="11"/>
      <color indexed="8"/>
      <name val="Lato"/>
      <family val="2"/>
    </font>
    <font>
      <b/>
      <sz val="16"/>
      <color theme="1"/>
      <name val="Lato"/>
      <family val="2"/>
    </font>
    <font>
      <b/>
      <sz val="11"/>
      <color theme="1"/>
      <name val="Lato"/>
      <family val="2"/>
    </font>
    <font>
      <sz val="10"/>
      <color theme="1"/>
      <name val="Lato"/>
      <family val="2"/>
    </font>
    <font>
      <b/>
      <sz val="10"/>
      <color theme="1"/>
      <name val="Lato"/>
      <family val="2"/>
    </font>
    <font>
      <sz val="10"/>
      <color theme="1"/>
      <name val="Lato"/>
    </font>
    <font>
      <sz val="11"/>
      <color theme="1"/>
      <name val="Lato"/>
    </font>
    <font>
      <b/>
      <sz val="10"/>
      <color theme="1"/>
      <name val="Lato"/>
    </font>
    <font>
      <sz val="10"/>
      <color rgb="FF3F3F76"/>
      <name val="Lato"/>
    </font>
    <font>
      <sz val="10"/>
      <name val="Lato"/>
    </font>
    <font>
      <vertAlign val="superscript"/>
      <sz val="10"/>
      <color theme="1"/>
      <name val="Lato"/>
    </font>
    <font>
      <i/>
      <sz val="10"/>
      <color theme="1"/>
      <name val="Lato"/>
    </font>
    <font>
      <b/>
      <sz val="20"/>
      <color indexed="23"/>
      <name val="Lato"/>
    </font>
    <font>
      <b/>
      <sz val="8"/>
      <name val="Lato"/>
    </font>
    <font>
      <b/>
      <sz val="8"/>
      <color indexed="8"/>
      <name val="Lato"/>
    </font>
    <font>
      <sz val="10"/>
      <color theme="1"/>
      <name val="Calibri"/>
      <family val="2"/>
      <scheme val="minor"/>
    </font>
    <font>
      <sz val="9"/>
      <color theme="1"/>
      <name val="Lato"/>
      <family val="2"/>
    </font>
    <font>
      <sz val="10"/>
      <color theme="1"/>
      <name val="Calibri"/>
      <family val="2"/>
    </font>
    <font>
      <b/>
      <sz val="14"/>
      <color theme="1"/>
      <name val="Lato"/>
    </font>
    <font>
      <b/>
      <sz val="14"/>
      <name val="Lato"/>
    </font>
    <font>
      <sz val="9"/>
      <color theme="1"/>
      <name val="Lato"/>
    </font>
    <font>
      <sz val="9"/>
      <color theme="1"/>
      <name val="Calibri"/>
      <family val="2"/>
    </font>
    <font>
      <vertAlign val="superscript"/>
      <sz val="9"/>
      <color theme="1"/>
      <name val="Lato"/>
    </font>
    <font>
      <sz val="9"/>
      <color theme="1"/>
      <name val="Leelawadee"/>
      <family val="2"/>
      <charset val="222"/>
    </font>
    <font>
      <vertAlign val="subscript"/>
      <sz val="9"/>
      <color theme="1"/>
      <name val="Lato"/>
    </font>
    <font>
      <vertAlign val="subscript"/>
      <sz val="10"/>
      <color theme="1"/>
      <name val="Lato"/>
    </font>
    <font>
      <b/>
      <sz val="17"/>
      <color theme="1" tint="0.14999847407452621"/>
      <name val="Lato"/>
      <family val="2"/>
    </font>
    <font>
      <i/>
      <sz val="11"/>
      <color theme="1"/>
      <name val="Lato"/>
    </font>
    <font>
      <sz val="11"/>
      <color theme="1"/>
      <name val="Calibri"/>
      <family val="2"/>
    </font>
    <font>
      <vertAlign val="superscript"/>
      <sz val="11"/>
      <color theme="1"/>
      <name val="Lato"/>
    </font>
    <font>
      <b/>
      <sz val="17"/>
      <color theme="1" tint="0.249977111117893"/>
      <name val="Lato"/>
      <family val="2"/>
    </font>
    <font>
      <u/>
      <sz val="11"/>
      <color theme="10"/>
      <name val="Calibri"/>
      <family val="2"/>
      <scheme val="minor"/>
    </font>
    <font>
      <sz val="11"/>
      <color rgb="FF3F3F76"/>
      <name val="Lato"/>
      <family val="2"/>
    </font>
    <font>
      <b/>
      <sz val="18"/>
      <color theme="1" tint="0.249977111117893"/>
      <name val="Lato"/>
    </font>
    <font>
      <b/>
      <sz val="10"/>
      <name val="Lato"/>
    </font>
    <font>
      <u/>
      <sz val="11"/>
      <color theme="10"/>
      <name val="Lato"/>
    </font>
    <font>
      <sz val="11"/>
      <color rgb="FF3F3F76"/>
      <name val="Lato"/>
    </font>
    <font>
      <b/>
      <sz val="11"/>
      <color theme="1"/>
      <name val="Lato"/>
    </font>
    <font>
      <sz val="10"/>
      <color theme="1"/>
      <name val="Leelawadee"/>
      <family val="2"/>
    </font>
    <font>
      <b/>
      <i/>
      <sz val="11"/>
      <color theme="1"/>
      <name val="Lato"/>
    </font>
    <font>
      <sz val="9"/>
      <color indexed="8"/>
      <name val="Lato"/>
    </font>
    <font>
      <b/>
      <sz val="9"/>
      <name val="Lato"/>
    </font>
    <font>
      <b/>
      <sz val="9"/>
      <color indexed="8"/>
      <name val="Lato"/>
    </font>
    <font>
      <sz val="9"/>
      <name val="Lato"/>
    </font>
    <font>
      <b/>
      <sz val="9"/>
      <name val="Lato"/>
      <family val="2"/>
    </font>
    <font>
      <b/>
      <sz val="9"/>
      <color indexed="8"/>
      <name val="Lato"/>
      <family val="2"/>
    </font>
    <font>
      <sz val="9"/>
      <name val="Lato"/>
      <family val="2"/>
    </font>
    <font>
      <sz val="9"/>
      <color indexed="8"/>
      <name val="Lato"/>
      <family val="2"/>
    </font>
    <font>
      <sz val="13"/>
      <color theme="1"/>
      <name val="Lato"/>
      <family val="2"/>
    </font>
    <font>
      <sz val="12"/>
      <color theme="1"/>
      <name val="Lato"/>
    </font>
    <font>
      <b/>
      <sz val="12"/>
      <color theme="1"/>
      <name val="Lato"/>
    </font>
    <font>
      <sz val="10"/>
      <color rgb="FFDDEECE"/>
      <name val="Lato"/>
    </font>
    <font>
      <sz val="10.5"/>
      <color theme="1"/>
      <name val="Lato"/>
    </font>
    <font>
      <i/>
      <sz val="10.5"/>
      <color theme="1"/>
      <name val="Lato"/>
    </font>
    <font>
      <sz val="12"/>
      <color rgb="FFDDEEC8"/>
      <name val="Lato"/>
    </font>
    <font>
      <sz val="11"/>
      <name val="Lato"/>
      <family val="2"/>
    </font>
    <font>
      <b/>
      <sz val="16"/>
      <color theme="1"/>
      <name val="Lato"/>
    </font>
  </fonts>
  <fills count="21">
    <fill>
      <patternFill patternType="none"/>
    </fill>
    <fill>
      <patternFill patternType="gray125"/>
    </fill>
    <fill>
      <patternFill patternType="solid">
        <fgColor theme="0"/>
        <bgColor indexed="64"/>
      </patternFill>
    </fill>
    <fill>
      <patternFill patternType="solid">
        <fgColor theme="3" tint="0.59999389629810485"/>
        <bgColor indexed="64"/>
      </patternFill>
    </fill>
    <fill>
      <patternFill patternType="solid">
        <fgColor rgb="FFFFCC99"/>
      </patternFill>
    </fill>
    <fill>
      <patternFill patternType="solid">
        <fgColor rgb="FFFFFFCC"/>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CCF0CC"/>
        <bgColor indexed="64"/>
      </patternFill>
    </fill>
    <fill>
      <patternFill patternType="solid">
        <fgColor rgb="FFDDEECE"/>
        <bgColor indexed="64"/>
      </patternFill>
    </fill>
    <fill>
      <patternFill patternType="solid">
        <fgColor rgb="FFDAD3E5"/>
        <bgColor indexed="64"/>
      </patternFill>
    </fill>
    <fill>
      <patternFill patternType="solid">
        <fgColor rgb="FFEBE7F1"/>
        <bgColor indexed="64"/>
      </patternFill>
    </fill>
    <fill>
      <patternFill patternType="solid">
        <fgColor rgb="FFFFFF99"/>
        <bgColor indexed="64"/>
      </patternFill>
    </fill>
    <fill>
      <patternFill patternType="solid">
        <fgColor theme="7" tint="0.59999389629810485"/>
        <bgColor indexed="64"/>
      </patternFill>
    </fill>
    <fill>
      <patternFill patternType="solid">
        <fgColor rgb="FFFFEDB9"/>
        <bgColor indexed="64"/>
      </patternFill>
    </fill>
    <fill>
      <patternFill patternType="solid">
        <fgColor rgb="FFFFD869"/>
        <bgColor indexed="64"/>
      </patternFill>
    </fill>
    <fill>
      <patternFill patternType="solid">
        <fgColor rgb="FFDDEEC8"/>
        <bgColor indexed="64"/>
      </patternFill>
    </fill>
  </fills>
  <borders count="7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auto="1"/>
      </left>
      <right style="thin">
        <color auto="1"/>
      </right>
      <top style="thin">
        <color auto="1"/>
      </top>
      <bottom style="medium">
        <color indexed="64"/>
      </bottom>
      <diagonal/>
    </border>
    <border>
      <left/>
      <right style="thin">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medium">
        <color indexed="64"/>
      </bottom>
      <diagonal/>
    </border>
    <border>
      <left style="thin">
        <color rgb="FF7F7F7F"/>
      </left>
      <right style="thin">
        <color rgb="FF7F7F7F"/>
      </right>
      <top/>
      <bottom/>
      <diagonal/>
    </border>
    <border>
      <left/>
      <right style="thin">
        <color rgb="FF7F7F7F"/>
      </right>
      <top/>
      <bottom/>
      <diagonal/>
    </border>
    <border>
      <left style="thin">
        <color rgb="FF7F7F7F"/>
      </left>
      <right style="thin">
        <color rgb="FF7F7F7F"/>
      </right>
      <top style="thin">
        <color rgb="FF7F7F7F"/>
      </top>
      <bottom/>
      <diagonal/>
    </border>
    <border>
      <left/>
      <right style="thin">
        <color rgb="FF7F7F7F"/>
      </right>
      <top style="thin">
        <color indexed="64"/>
      </top>
      <bottom/>
      <diagonal/>
    </border>
    <border>
      <left style="thin">
        <color indexed="64"/>
      </left>
      <right style="thin">
        <color indexed="64"/>
      </right>
      <top style="medium">
        <color indexed="64"/>
      </top>
      <bottom style="thin">
        <color indexed="64"/>
      </bottom>
      <diagonal/>
    </border>
    <border>
      <left style="thin">
        <color rgb="FF7F7F7F"/>
      </left>
      <right style="thin">
        <color rgb="FF7F7F7F"/>
      </right>
      <top/>
      <bottom style="thin">
        <color rgb="FF7F7F7F"/>
      </bottom>
      <diagonal/>
    </border>
    <border>
      <left style="medium">
        <color indexed="64"/>
      </left>
      <right/>
      <top/>
      <bottom style="thin">
        <color indexed="64"/>
      </bottom>
      <diagonal/>
    </border>
    <border>
      <left/>
      <right style="thin">
        <color rgb="FF7F7F7F"/>
      </right>
      <top/>
      <bottom style="thin">
        <color indexed="64"/>
      </bottom>
      <diagonal/>
    </border>
    <border>
      <left style="thin">
        <color rgb="FF7F7F7F"/>
      </left>
      <right style="thin">
        <color rgb="FF7F7F7F"/>
      </right>
      <top style="thin">
        <color rgb="FF7F7F7F"/>
      </top>
      <bottom style="thin">
        <color indexed="64"/>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bottom style="thin">
        <color theme="0" tint="-0.14999847407452621"/>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rgb="FF7F7F7F"/>
      </bottom>
      <diagonal/>
    </border>
    <border>
      <left style="thin">
        <color indexed="64"/>
      </left>
      <right style="thin">
        <color indexed="64"/>
      </right>
      <top style="thin">
        <color indexed="64"/>
      </top>
      <bottom style="thin">
        <color theme="0" tint="-0.249977111117893"/>
      </bottom>
      <diagonal/>
    </border>
    <border>
      <left style="thin">
        <color indexed="64"/>
      </left>
      <right style="thin">
        <color indexed="64"/>
      </right>
      <top style="thin">
        <color theme="0" tint="-0.249977111117893"/>
      </top>
      <bottom style="thin">
        <color theme="0" tint="-0.249977111117893"/>
      </bottom>
      <diagonal/>
    </border>
    <border>
      <left style="thin">
        <color indexed="64"/>
      </left>
      <right style="thin">
        <color indexed="64"/>
      </right>
      <top style="thin">
        <color theme="0" tint="-0.249977111117893"/>
      </top>
      <bottom style="thin">
        <color indexed="64"/>
      </bottom>
      <diagonal/>
    </border>
    <border>
      <left style="thin">
        <color indexed="64"/>
      </left>
      <right style="thin">
        <color indexed="64"/>
      </right>
      <top style="thin">
        <color theme="0" tint="-0.249977111117893"/>
      </top>
      <bottom/>
      <diagonal/>
    </border>
    <border>
      <left style="thin">
        <color indexed="64"/>
      </left>
      <right/>
      <top style="thin">
        <color theme="0" tint="-0.249977111117893"/>
      </top>
      <bottom style="thin">
        <color theme="0" tint="-0.249977111117893"/>
      </bottom>
      <diagonal/>
    </border>
    <border>
      <left/>
      <right style="thin">
        <color indexed="64"/>
      </right>
      <top style="thin">
        <color theme="0" tint="-0.249977111117893"/>
      </top>
      <bottom style="thin">
        <color theme="0" tint="-0.249977111117893"/>
      </bottom>
      <diagonal/>
    </border>
    <border>
      <left style="thin">
        <color indexed="64"/>
      </left>
      <right/>
      <top style="thin">
        <color theme="0" tint="-0.249977111117893"/>
      </top>
      <bottom/>
      <diagonal/>
    </border>
    <border>
      <left/>
      <right style="thin">
        <color indexed="64"/>
      </right>
      <top style="thin">
        <color theme="0" tint="-0.249977111117893"/>
      </top>
      <bottom/>
      <diagonal/>
    </border>
    <border>
      <left style="thin">
        <color rgb="FF7F7F7F"/>
      </left>
      <right style="thin">
        <color indexed="64"/>
      </right>
      <top style="thin">
        <color rgb="FF7F7F7F"/>
      </top>
      <bottom style="thin">
        <color rgb="FF7F7F7F"/>
      </bottom>
      <diagonal/>
    </border>
    <border>
      <left style="thin">
        <color rgb="FF7F7F7F"/>
      </left>
      <right style="thin">
        <color indexed="64"/>
      </right>
      <top style="thin">
        <color indexed="64"/>
      </top>
      <bottom style="thin">
        <color rgb="FF7F7F7F"/>
      </bottom>
      <diagonal/>
    </border>
    <border>
      <left style="thin">
        <color indexed="64"/>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style="thin">
        <color indexed="64"/>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style="thin">
        <color rgb="FF7F7F7F"/>
      </left>
      <right style="thin">
        <color indexed="64"/>
      </right>
      <top style="thin">
        <color theme="0" tint="-0.249977111117893"/>
      </top>
      <bottom style="thin">
        <color theme="0" tint="-0.249977111117893"/>
      </bottom>
      <diagonal/>
    </border>
    <border>
      <left style="thin">
        <color indexed="64"/>
      </left>
      <right style="thin">
        <color rgb="FF7F7F7F"/>
      </right>
      <top style="thin">
        <color theme="0" tint="-0.249977111117893"/>
      </top>
      <bottom style="thin">
        <color theme="0" tint="-0.249977111117893"/>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rgb="FF7F7F7F"/>
      </top>
      <bottom style="thin">
        <color auto="1"/>
      </bottom>
      <diagonal/>
    </border>
    <border>
      <left style="thin">
        <color indexed="64"/>
      </left>
      <right style="thin">
        <color indexed="64"/>
      </right>
      <top style="thin">
        <color rgb="FF7F7F7F"/>
      </top>
      <bottom style="thin">
        <color rgb="FF7F7F7F"/>
      </bottom>
      <diagonal/>
    </border>
    <border>
      <left style="thin">
        <color indexed="64"/>
      </left>
      <right style="thin">
        <color rgb="FF7F7F7F"/>
      </right>
      <top style="thin">
        <color indexed="64"/>
      </top>
      <bottom style="thin">
        <color indexed="64"/>
      </bottom>
      <diagonal/>
    </border>
    <border>
      <left style="thin">
        <color rgb="FF7F7F7F"/>
      </left>
      <right style="thin">
        <color indexed="64"/>
      </right>
      <top style="thin">
        <color indexed="64"/>
      </top>
      <bottom style="thin">
        <color indexed="64"/>
      </bottom>
      <diagonal/>
    </border>
    <border>
      <left style="thin">
        <color rgb="FF7F7F7F"/>
      </left>
      <right style="thin">
        <color indexed="64"/>
      </right>
      <top style="thin">
        <color rgb="FF7F7F7F"/>
      </top>
      <bottom style="thin">
        <color indexed="64"/>
      </bottom>
      <diagonal/>
    </border>
  </borders>
  <cellStyleXfs count="8">
    <xf numFmtId="0" fontId="0" fillId="0" borderId="0"/>
    <xf numFmtId="0" fontId="7" fillId="0" borderId="0"/>
    <xf numFmtId="0" fontId="8" fillId="0" borderId="0"/>
    <xf numFmtId="4" fontId="9" fillId="0" borderId="0" applyFont="0" applyFill="0" applyBorder="0" applyAlignment="0" applyProtection="0"/>
    <xf numFmtId="0" fontId="10" fillId="4" borderId="35" applyNumberFormat="0" applyAlignment="0" applyProtection="0"/>
    <xf numFmtId="9" fontId="11" fillId="0" borderId="0" applyFont="0" applyFill="0" applyBorder="0" applyAlignment="0" applyProtection="0"/>
    <xf numFmtId="0" fontId="11" fillId="5" borderId="36" applyNumberFormat="0" applyFont="0" applyAlignment="0" applyProtection="0"/>
    <xf numFmtId="0" fontId="45" fillId="0" borderId="0" applyNumberFormat="0" applyFill="0" applyBorder="0" applyAlignment="0" applyProtection="0"/>
  </cellStyleXfs>
  <cellXfs count="629">
    <xf numFmtId="0" fontId="0" fillId="0" borderId="0" xfId="0"/>
    <xf numFmtId="0" fontId="12" fillId="0" borderId="0" xfId="0" applyFont="1"/>
    <xf numFmtId="0" fontId="12" fillId="0" borderId="0" xfId="0" applyFont="1" applyAlignment="1">
      <alignment horizontal="center"/>
    </xf>
    <xf numFmtId="166" fontId="12" fillId="0" borderId="0" xfId="0" applyNumberFormat="1" applyFont="1"/>
    <xf numFmtId="9" fontId="12" fillId="0" borderId="0" xfId="0" applyNumberFormat="1" applyFont="1"/>
    <xf numFmtId="164" fontId="12" fillId="0" borderId="0" xfId="0" applyNumberFormat="1" applyFont="1"/>
    <xf numFmtId="1" fontId="12" fillId="0" borderId="0" xfId="0" applyNumberFormat="1" applyFont="1"/>
    <xf numFmtId="0" fontId="12" fillId="0" borderId="0" xfId="0" applyFont="1" applyAlignment="1">
      <alignment horizontal="center" wrapText="1"/>
    </xf>
    <xf numFmtId="166" fontId="12" fillId="0" borderId="0" xfId="0" applyNumberFormat="1" applyFont="1" applyAlignment="1">
      <alignment horizontal="center" wrapText="1"/>
    </xf>
    <xf numFmtId="1" fontId="12" fillId="0" borderId="0" xfId="0" applyNumberFormat="1" applyFont="1" applyAlignment="1">
      <alignment horizontal="center" wrapText="1"/>
    </xf>
    <xf numFmtId="164" fontId="12" fillId="0" borderId="0" xfId="0" applyNumberFormat="1" applyFont="1" applyAlignment="1">
      <alignment horizontal="center" wrapText="1"/>
    </xf>
    <xf numFmtId="0" fontId="12" fillId="0" borderId="0" xfId="0" applyFont="1" applyAlignment="1">
      <alignment horizontal="center" vertical="center"/>
    </xf>
    <xf numFmtId="0" fontId="15" fillId="0" borderId="0" xfId="0" applyFont="1" applyAlignment="1">
      <alignment horizontal="center"/>
    </xf>
    <xf numFmtId="3" fontId="12" fillId="0" borderId="0" xfId="0" applyNumberFormat="1" applyFont="1" applyAlignment="1">
      <alignment horizontal="center" vertical="center"/>
    </xf>
    <xf numFmtId="0" fontId="12" fillId="0" borderId="0" xfId="0" applyFont="1" applyAlignment="1">
      <alignment horizontal="center" vertical="center" wrapText="1"/>
    </xf>
    <xf numFmtId="0" fontId="12" fillId="0" borderId="0" xfId="0" applyFont="1" applyAlignment="1">
      <alignment vertical="center"/>
    </xf>
    <xf numFmtId="9" fontId="12" fillId="0" borderId="0" xfId="0" applyNumberFormat="1" applyFont="1" applyAlignment="1">
      <alignment horizontal="center" vertical="center" wrapText="1"/>
    </xf>
    <xf numFmtId="166" fontId="12" fillId="0" borderId="0" xfId="0" applyNumberFormat="1" applyFont="1" applyAlignment="1">
      <alignment horizontal="center" vertical="center" wrapText="1"/>
    </xf>
    <xf numFmtId="164" fontId="12" fillId="0" borderId="0" xfId="0" applyNumberFormat="1" applyFont="1" applyAlignment="1">
      <alignment horizontal="center" vertical="center" wrapText="1"/>
    </xf>
    <xf numFmtId="2" fontId="12" fillId="0" borderId="0" xfId="0" applyNumberFormat="1" applyFont="1" applyAlignment="1">
      <alignment horizontal="center" vertical="center" wrapText="1"/>
    </xf>
    <xf numFmtId="1" fontId="12" fillId="0" borderId="0" xfId="0" applyNumberFormat="1" applyFont="1" applyAlignment="1">
      <alignment horizontal="center"/>
    </xf>
    <xf numFmtId="164" fontId="12" fillId="0" borderId="0" xfId="0" applyNumberFormat="1" applyFont="1" applyAlignment="1">
      <alignment horizontal="center"/>
    </xf>
    <xf numFmtId="2" fontId="0" fillId="0" borderId="0" xfId="0" applyNumberFormat="1"/>
    <xf numFmtId="164" fontId="1" fillId="0" borderId="0" xfId="0" applyNumberFormat="1" applyFont="1" applyAlignment="1" applyProtection="1">
      <alignment horizontal="left" vertical="center"/>
      <protection locked="0"/>
    </xf>
    <xf numFmtId="0" fontId="20" fillId="0" borderId="0" xfId="0" applyFont="1"/>
    <xf numFmtId="0" fontId="23" fillId="2" borderId="0" xfId="0" applyFont="1" applyFill="1"/>
    <xf numFmtId="164" fontId="19" fillId="2" borderId="3" xfId="0" applyNumberFormat="1" applyFont="1" applyFill="1" applyBorder="1" applyAlignment="1">
      <alignment horizontal="center" vertical="center"/>
    </xf>
    <xf numFmtId="0" fontId="1" fillId="0" borderId="0" xfId="0" applyFont="1" applyAlignment="1">
      <alignment horizontal="center" vertical="center"/>
    </xf>
    <xf numFmtId="0" fontId="13" fillId="0" borderId="0" xfId="0" applyFont="1" applyAlignment="1">
      <alignment horizontal="center" vertical="center"/>
    </xf>
    <xf numFmtId="14" fontId="14" fillId="0" borderId="0" xfId="0" applyNumberFormat="1" applyFont="1" applyAlignment="1">
      <alignment horizontal="left"/>
    </xf>
    <xf numFmtId="0" fontId="1" fillId="0" borderId="0" xfId="0" applyFont="1"/>
    <xf numFmtId="0" fontId="0" fillId="0" borderId="7" xfId="0" applyBorder="1"/>
    <xf numFmtId="0" fontId="0" fillId="0" borderId="8" xfId="0" applyBorder="1"/>
    <xf numFmtId="0" fontId="1" fillId="0" borderId="28" xfId="0" applyFont="1" applyBorder="1" applyAlignment="1">
      <alignment horizontal="left" vertical="center"/>
    </xf>
    <xf numFmtId="3" fontId="1" fillId="0" borderId="1" xfId="0" applyNumberFormat="1" applyFont="1" applyBorder="1" applyAlignment="1">
      <alignment horizontal="center" vertical="center"/>
    </xf>
    <xf numFmtId="0" fontId="1" fillId="0" borderId="1" xfId="0" applyFont="1" applyBorder="1" applyAlignment="1">
      <alignment horizontal="center" vertical="center"/>
    </xf>
    <xf numFmtId="164" fontId="1" fillId="0" borderId="16" xfId="0" applyNumberFormat="1" applyFont="1" applyBorder="1" applyAlignment="1">
      <alignment horizontal="center" vertical="center"/>
    </xf>
    <xf numFmtId="14" fontId="14" fillId="0" borderId="11" xfId="0" applyNumberFormat="1" applyFont="1" applyBorder="1" applyAlignment="1">
      <alignment horizontal="left"/>
    </xf>
    <xf numFmtId="2" fontId="20" fillId="0" borderId="16" xfId="0" applyNumberFormat="1" applyFont="1" applyBorder="1" applyAlignment="1">
      <alignment horizontal="center" vertical="center"/>
    </xf>
    <xf numFmtId="14" fontId="14" fillId="0" borderId="28" xfId="0" applyNumberFormat="1" applyFont="1" applyBorder="1" applyAlignment="1">
      <alignment horizontal="left"/>
    </xf>
    <xf numFmtId="0" fontId="1" fillId="0" borderId="33" xfId="0" applyFont="1" applyBorder="1"/>
    <xf numFmtId="0" fontId="1" fillId="0" borderId="18" xfId="0" applyFont="1" applyBorder="1"/>
    <xf numFmtId="0" fontId="1" fillId="0" borderId="19" xfId="0" applyFont="1" applyBorder="1"/>
    <xf numFmtId="0" fontId="20" fillId="9" borderId="1" xfId="0" applyFont="1" applyFill="1" applyBorder="1"/>
    <xf numFmtId="0" fontId="20" fillId="7" borderId="1" xfId="0" applyFont="1" applyFill="1" applyBorder="1" applyAlignment="1">
      <alignment horizontal="center"/>
    </xf>
    <xf numFmtId="2" fontId="20" fillId="7" borderId="1" xfId="0" applyNumberFormat="1" applyFont="1" applyFill="1" applyBorder="1" applyAlignment="1">
      <alignment horizontal="center"/>
    </xf>
    <xf numFmtId="12" fontId="20" fillId="0" borderId="1" xfId="0" applyNumberFormat="1" applyFont="1" applyBorder="1"/>
    <xf numFmtId="0" fontId="20" fillId="0" borderId="1" xfId="0" applyFont="1" applyBorder="1"/>
    <xf numFmtId="2" fontId="20" fillId="0" borderId="1" xfId="0" applyNumberFormat="1" applyFont="1" applyBorder="1"/>
    <xf numFmtId="4" fontId="20" fillId="0" borderId="1" xfId="0" applyNumberFormat="1" applyFont="1" applyBorder="1"/>
    <xf numFmtId="0" fontId="20" fillId="0" borderId="0" xfId="0" applyFont="1" applyAlignment="1">
      <alignment horizontal="center" vertical="center"/>
    </xf>
    <xf numFmtId="0" fontId="20" fillId="0" borderId="0" xfId="0" applyFont="1" applyAlignment="1">
      <alignment horizontal="center" vertical="center" wrapText="1"/>
    </xf>
    <xf numFmtId="0" fontId="20" fillId="0" borderId="1" xfId="0" applyFont="1" applyBorder="1" applyAlignment="1">
      <alignment horizontal="right"/>
    </xf>
    <xf numFmtId="1" fontId="20" fillId="0" borderId="1" xfId="0" applyNumberFormat="1" applyFont="1" applyBorder="1"/>
    <xf numFmtId="0" fontId="20" fillId="0" borderId="0" xfId="0" applyFont="1" applyAlignment="1">
      <alignment horizontal="left"/>
    </xf>
    <xf numFmtId="0" fontId="20" fillId="0" borderId="0" xfId="0" applyFont="1" applyAlignment="1">
      <alignment horizontal="right"/>
    </xf>
    <xf numFmtId="0" fontId="20" fillId="0" borderId="0" xfId="0" applyFont="1" applyAlignment="1">
      <alignment horizontal="left" vertical="center"/>
    </xf>
    <xf numFmtId="1" fontId="20" fillId="0" borderId="0" xfId="0" applyNumberFormat="1" applyFont="1"/>
    <xf numFmtId="0" fontId="0" fillId="2" borderId="0" xfId="0" applyFill="1"/>
    <xf numFmtId="0" fontId="20" fillId="9" borderId="1" xfId="0" applyFont="1" applyFill="1" applyBorder="1" applyAlignment="1">
      <alignment horizontal="center" vertical="center"/>
    </xf>
    <xf numFmtId="0" fontId="20" fillId="9" borderId="1" xfId="0" applyFont="1" applyFill="1" applyBorder="1" applyAlignment="1">
      <alignment horizontal="center" vertical="center" wrapText="1"/>
    </xf>
    <xf numFmtId="0" fontId="20" fillId="0" borderId="1" xfId="0" applyFont="1" applyBorder="1" applyAlignment="1">
      <alignment horizontal="left" vertical="center"/>
    </xf>
    <xf numFmtId="0" fontId="20" fillId="0" borderId="1" xfId="0" applyFont="1" applyBorder="1" applyAlignment="1">
      <alignment horizontal="left"/>
    </xf>
    <xf numFmtId="0" fontId="13" fillId="13" borderId="3" xfId="0" applyFont="1" applyFill="1" applyBorder="1" applyAlignment="1">
      <alignment horizontal="center" vertical="center"/>
    </xf>
    <xf numFmtId="0" fontId="13" fillId="13" borderId="12" xfId="0" applyFont="1" applyFill="1" applyBorder="1" applyAlignment="1">
      <alignment horizontal="center" vertical="center"/>
    </xf>
    <xf numFmtId="0" fontId="10" fillId="4" borderId="35" xfId="4" applyAlignment="1" applyProtection="1">
      <alignment horizontal="center" vertical="center"/>
      <protection locked="0"/>
    </xf>
    <xf numFmtId="0" fontId="48" fillId="2" borderId="0" xfId="0" applyFont="1" applyFill="1" applyAlignment="1">
      <alignment vertical="center" wrapText="1"/>
    </xf>
    <xf numFmtId="0" fontId="48" fillId="2" borderId="0" xfId="0" applyFont="1" applyFill="1" applyAlignment="1">
      <alignment horizontal="center" vertical="center" wrapText="1"/>
    </xf>
    <xf numFmtId="0" fontId="19" fillId="0" borderId="1" xfId="0" applyFont="1" applyBorder="1" applyAlignment="1">
      <alignment vertical="center" wrapText="1"/>
    </xf>
    <xf numFmtId="14" fontId="14" fillId="0" borderId="15" xfId="0" applyNumberFormat="1" applyFont="1" applyBorder="1" applyAlignment="1">
      <alignment horizontal="left"/>
    </xf>
    <xf numFmtId="0" fontId="46" fillId="0" borderId="0" xfId="4" applyFont="1" applyFill="1" applyBorder="1" applyAlignment="1" applyProtection="1">
      <alignment horizontal="center" vertical="center"/>
    </xf>
    <xf numFmtId="9" fontId="1" fillId="0" borderId="1" xfId="0" applyNumberFormat="1" applyFont="1" applyBorder="1" applyAlignment="1">
      <alignment horizontal="center" vertical="center"/>
    </xf>
    <xf numFmtId="2" fontId="1" fillId="0" borderId="1" xfId="0" applyNumberFormat="1" applyFont="1" applyBorder="1" applyAlignment="1">
      <alignment horizontal="center" vertical="center"/>
    </xf>
    <xf numFmtId="2" fontId="1" fillId="0" borderId="1" xfId="6" applyNumberFormat="1" applyFont="1" applyFill="1" applyBorder="1" applyAlignment="1" applyProtection="1">
      <alignment horizontal="center" vertical="center"/>
    </xf>
    <xf numFmtId="0" fontId="46" fillId="4" borderId="35" xfId="4" applyFont="1" applyAlignment="1" applyProtection="1">
      <alignment horizontal="center" vertical="center"/>
      <protection locked="0"/>
    </xf>
    <xf numFmtId="0" fontId="46" fillId="4" borderId="37" xfId="4" applyFont="1" applyBorder="1" applyAlignment="1" applyProtection="1">
      <alignment horizontal="center" vertical="center"/>
      <protection locked="0"/>
    </xf>
    <xf numFmtId="2" fontId="1" fillId="0" borderId="0" xfId="0" applyNumberFormat="1" applyFont="1" applyAlignment="1">
      <alignment horizontal="center" vertical="center"/>
    </xf>
    <xf numFmtId="0" fontId="2" fillId="0" borderId="0" xfId="0" applyFont="1" applyAlignment="1">
      <alignment horizontal="center" vertical="center"/>
    </xf>
    <xf numFmtId="9" fontId="46" fillId="4" borderId="35" xfId="5" applyFont="1" applyFill="1" applyBorder="1" applyAlignment="1" applyProtection="1">
      <alignment horizontal="center" vertical="center"/>
      <protection locked="0"/>
    </xf>
    <xf numFmtId="9" fontId="46" fillId="4" borderId="40" xfId="5" applyFont="1" applyFill="1" applyBorder="1" applyAlignment="1" applyProtection="1">
      <alignment horizontal="center" vertical="center"/>
      <protection locked="0"/>
    </xf>
    <xf numFmtId="0" fontId="1" fillId="0" borderId="11" xfId="4" applyFont="1" applyFill="1" applyBorder="1" applyAlignment="1" applyProtection="1">
      <alignment horizontal="left" vertical="center"/>
    </xf>
    <xf numFmtId="0" fontId="50" fillId="4" borderId="35" xfId="4" applyFont="1" applyAlignment="1" applyProtection="1">
      <alignment horizontal="center" vertical="center"/>
      <protection locked="0"/>
    </xf>
    <xf numFmtId="0" fontId="50" fillId="4" borderId="40" xfId="4" applyFont="1" applyBorder="1" applyAlignment="1" applyProtection="1">
      <alignment horizontal="center" vertical="center" wrapText="1"/>
      <protection locked="0"/>
    </xf>
    <xf numFmtId="0" fontId="20" fillId="0" borderId="1" xfId="0" applyFont="1" applyBorder="1" applyAlignment="1">
      <alignment horizontal="center" vertical="center"/>
    </xf>
    <xf numFmtId="0" fontId="50" fillId="4" borderId="38" xfId="4" applyFont="1" applyBorder="1" applyAlignment="1" applyProtection="1">
      <alignment horizontal="center" vertical="center"/>
      <protection locked="0"/>
    </xf>
    <xf numFmtId="0" fontId="20" fillId="0" borderId="16" xfId="0" applyFont="1" applyBorder="1" applyAlignment="1">
      <alignment horizontal="center" vertical="center"/>
    </xf>
    <xf numFmtId="0" fontId="13" fillId="13" borderId="42" xfId="0" applyFont="1" applyFill="1" applyBorder="1" applyAlignment="1">
      <alignment horizontal="center" vertical="center"/>
    </xf>
    <xf numFmtId="9" fontId="1" fillId="0" borderId="1" xfId="5" applyFont="1" applyFill="1" applyBorder="1" applyAlignment="1" applyProtection="1">
      <alignment horizontal="center" vertical="center"/>
    </xf>
    <xf numFmtId="0" fontId="51" fillId="0" borderId="16" xfId="0" applyFont="1" applyBorder="1" applyAlignment="1">
      <alignment horizontal="center" vertical="center"/>
    </xf>
    <xf numFmtId="0" fontId="1" fillId="2" borderId="1" xfId="0" applyFont="1" applyFill="1" applyBorder="1" applyAlignment="1">
      <alignment horizontal="center"/>
    </xf>
    <xf numFmtId="2" fontId="1" fillId="2" borderId="1" xfId="4" applyNumberFormat="1" applyFont="1" applyFill="1" applyBorder="1" applyAlignment="1" applyProtection="1">
      <alignment horizontal="center"/>
    </xf>
    <xf numFmtId="2" fontId="1" fillId="0" borderId="0" xfId="6" applyNumberFormat="1" applyFont="1" applyFill="1" applyBorder="1" applyAlignment="1" applyProtection="1">
      <alignment horizontal="center" vertical="center"/>
    </xf>
    <xf numFmtId="164" fontId="1" fillId="0" borderId="2" xfId="0" applyNumberFormat="1" applyFont="1" applyBorder="1" applyAlignment="1">
      <alignment horizontal="center" vertical="center"/>
    </xf>
    <xf numFmtId="0" fontId="46" fillId="4" borderId="43" xfId="4" applyFont="1" applyBorder="1" applyAlignment="1" applyProtection="1">
      <alignment horizontal="center" vertical="center"/>
      <protection locked="0"/>
    </xf>
    <xf numFmtId="0" fontId="46" fillId="4" borderId="46" xfId="4" applyFont="1" applyBorder="1" applyAlignment="1" applyProtection="1">
      <alignment horizontal="center" vertical="center"/>
      <protection locked="0"/>
    </xf>
    <xf numFmtId="0" fontId="1" fillId="0" borderId="13" xfId="0" applyFont="1" applyBorder="1" applyAlignment="1">
      <alignment horizontal="left" vertical="center"/>
    </xf>
    <xf numFmtId="0" fontId="19" fillId="0" borderId="1" xfId="0" applyFont="1" applyBorder="1" applyAlignment="1">
      <alignment horizontal="left" vertical="center" wrapText="1"/>
    </xf>
    <xf numFmtId="0" fontId="19" fillId="0" borderId="2" xfId="0" applyFont="1" applyBorder="1" applyAlignment="1">
      <alignment horizontal="left" vertical="center" wrapText="1"/>
    </xf>
    <xf numFmtId="164" fontId="19" fillId="0" borderId="3" xfId="0" applyNumberFormat="1" applyFont="1" applyBorder="1" applyAlignment="1">
      <alignment horizontal="left" vertical="center" wrapText="1"/>
    </xf>
    <xf numFmtId="164" fontId="19" fillId="0" borderId="12" xfId="0" applyNumberFormat="1" applyFont="1" applyBorder="1" applyAlignment="1">
      <alignment horizontal="left" vertical="center" wrapText="1"/>
    </xf>
    <xf numFmtId="0" fontId="19" fillId="0" borderId="2" xfId="0" applyFont="1" applyBorder="1" applyAlignment="1">
      <alignment vertical="center" wrapText="1"/>
    </xf>
    <xf numFmtId="0" fontId="19" fillId="0" borderId="48" xfId="0" applyFont="1" applyBorder="1" applyAlignment="1">
      <alignment horizontal="left" vertical="center" wrapText="1"/>
    </xf>
    <xf numFmtId="9" fontId="19" fillId="0" borderId="48" xfId="0" applyNumberFormat="1" applyFont="1" applyBorder="1" applyAlignment="1">
      <alignment horizontal="left" vertical="center" wrapText="1"/>
    </xf>
    <xf numFmtId="164" fontId="19" fillId="0" borderId="48" xfId="0" applyNumberFormat="1" applyFont="1" applyBorder="1" applyAlignment="1">
      <alignment horizontal="left" vertical="center" wrapText="1"/>
    </xf>
    <xf numFmtId="164" fontId="19" fillId="0" borderId="49" xfId="0" applyNumberFormat="1" applyFont="1" applyBorder="1" applyAlignment="1">
      <alignment horizontal="left" vertical="center" wrapText="1"/>
    </xf>
    <xf numFmtId="0" fontId="19" fillId="0" borderId="50" xfId="0" applyFont="1" applyBorder="1" applyAlignment="1">
      <alignment horizontal="left" vertical="center" wrapText="1"/>
    </xf>
    <xf numFmtId="9" fontId="19" fillId="2" borderId="48" xfId="0" applyNumberFormat="1" applyFont="1" applyFill="1" applyBorder="1" applyAlignment="1">
      <alignment horizontal="center" vertical="center"/>
    </xf>
    <xf numFmtId="0" fontId="19" fillId="2" borderId="48" xfId="0" applyFont="1" applyFill="1" applyBorder="1" applyAlignment="1">
      <alignment horizontal="center" vertical="center"/>
    </xf>
    <xf numFmtId="164" fontId="19" fillId="2" borderId="48" xfId="0" applyNumberFormat="1" applyFont="1" applyFill="1" applyBorder="1" applyAlignment="1">
      <alignment horizontal="center" vertical="center"/>
    </xf>
    <xf numFmtId="2" fontId="19" fillId="2" borderId="48" xfId="0" applyNumberFormat="1" applyFont="1" applyFill="1" applyBorder="1" applyAlignment="1">
      <alignment horizontal="center" vertical="center"/>
    </xf>
    <xf numFmtId="0" fontId="19" fillId="2" borderId="48" xfId="0" applyFont="1" applyFill="1" applyBorder="1" applyAlignment="1">
      <alignment horizontal="center" vertical="center" wrapText="1"/>
    </xf>
    <xf numFmtId="164" fontId="19" fillId="2" borderId="49" xfId="0" applyNumberFormat="1" applyFont="1" applyFill="1" applyBorder="1" applyAlignment="1">
      <alignment horizontal="center" vertical="center" wrapText="1"/>
    </xf>
    <xf numFmtId="1" fontId="19" fillId="0" borderId="48" xfId="0" applyNumberFormat="1" applyFont="1" applyBorder="1" applyAlignment="1">
      <alignment horizontal="left" vertical="center" wrapText="1"/>
    </xf>
    <xf numFmtId="164" fontId="10" fillId="4" borderId="35" xfId="4" applyNumberFormat="1" applyAlignment="1" applyProtection="1">
      <alignment horizontal="center" vertical="center"/>
      <protection locked="0"/>
    </xf>
    <xf numFmtId="0" fontId="10" fillId="4" borderId="35" xfId="4" applyAlignment="1" applyProtection="1">
      <alignment horizontal="center" vertical="center" wrapText="1"/>
      <protection locked="0"/>
    </xf>
    <xf numFmtId="0" fontId="19" fillId="0" borderId="51" xfId="0" applyFont="1" applyBorder="1" applyAlignment="1">
      <alignment horizontal="left" vertical="center" wrapText="1"/>
    </xf>
    <xf numFmtId="166" fontId="19" fillId="0" borderId="48" xfId="0" applyNumberFormat="1" applyFont="1" applyBorder="1" applyAlignment="1">
      <alignment horizontal="left" vertical="center" wrapText="1"/>
    </xf>
    <xf numFmtId="0" fontId="19" fillId="0" borderId="49" xfId="0" applyFont="1" applyBorder="1" applyAlignment="1">
      <alignment horizontal="left" vertical="center" wrapText="1"/>
    </xf>
    <xf numFmtId="9" fontId="19" fillId="2" borderId="51" xfId="5" applyFont="1" applyFill="1" applyBorder="1" applyAlignment="1" applyProtection="1">
      <alignment horizontal="center" vertical="center"/>
    </xf>
    <xf numFmtId="9" fontId="19" fillId="2" borderId="48" xfId="5" applyFont="1" applyFill="1" applyBorder="1" applyAlignment="1" applyProtection="1">
      <alignment horizontal="center" vertical="center"/>
    </xf>
    <xf numFmtId="164" fontId="19" fillId="2" borderId="49" xfId="0" applyNumberFormat="1" applyFont="1" applyFill="1" applyBorder="1" applyAlignment="1">
      <alignment horizontal="center" vertical="center"/>
    </xf>
    <xf numFmtId="164" fontId="19" fillId="0" borderId="0" xfId="0" applyNumberFormat="1" applyFont="1" applyAlignment="1">
      <alignment horizontal="center" vertical="center" wrapText="1"/>
    </xf>
    <xf numFmtId="9" fontId="10" fillId="4" borderId="35" xfId="4" applyNumberFormat="1" applyAlignment="1" applyProtection="1">
      <alignment horizontal="center" vertical="center"/>
      <protection locked="0"/>
    </xf>
    <xf numFmtId="0" fontId="19" fillId="0" borderId="3" xfId="0" applyFont="1" applyBorder="1" applyAlignment="1">
      <alignment horizontal="left" vertical="center" wrapText="1"/>
    </xf>
    <xf numFmtId="9" fontId="19" fillId="2" borderId="2" xfId="5" applyFont="1" applyFill="1" applyBorder="1" applyAlignment="1" applyProtection="1">
      <alignment horizontal="center" vertical="center"/>
    </xf>
    <xf numFmtId="164" fontId="19" fillId="0" borderId="4" xfId="0" applyNumberFormat="1" applyFont="1" applyBorder="1" applyAlignment="1">
      <alignment horizontal="left" vertical="center" wrapText="1"/>
    </xf>
    <xf numFmtId="2" fontId="22" fillId="4" borderId="15" xfId="4" applyNumberFormat="1" applyFont="1" applyBorder="1" applyAlignment="1" applyProtection="1">
      <alignment horizontal="center" vertical="center" wrapText="1"/>
      <protection locked="0"/>
    </xf>
    <xf numFmtId="2" fontId="10" fillId="4" borderId="35" xfId="4" applyNumberFormat="1" applyAlignment="1" applyProtection="1">
      <alignment horizontal="center" vertical="center" wrapText="1"/>
      <protection locked="0"/>
    </xf>
    <xf numFmtId="2" fontId="10" fillId="4" borderId="53" xfId="4" applyNumberFormat="1" applyBorder="1" applyAlignment="1" applyProtection="1">
      <alignment horizontal="center" vertical="center" wrapText="1"/>
      <protection locked="0"/>
    </xf>
    <xf numFmtId="0" fontId="20" fillId="6" borderId="2" xfId="0" applyFont="1" applyFill="1" applyBorder="1" applyAlignment="1">
      <alignment horizontal="center"/>
    </xf>
    <xf numFmtId="0" fontId="19" fillId="0" borderId="51" xfId="0" applyFont="1" applyBorder="1"/>
    <xf numFmtId="0" fontId="19" fillId="0" borderId="48" xfId="0" applyFont="1" applyBorder="1"/>
    <xf numFmtId="0" fontId="19" fillId="0" borderId="49" xfId="0" applyFont="1" applyBorder="1"/>
    <xf numFmtId="0" fontId="20" fillId="6" borderId="3" xfId="0" applyFont="1" applyFill="1" applyBorder="1" applyAlignment="1">
      <alignment horizontal="center"/>
    </xf>
    <xf numFmtId="0" fontId="19" fillId="0" borderId="50" xfId="0" applyFont="1" applyBorder="1"/>
    <xf numFmtId="0" fontId="17" fillId="0" borderId="48" xfId="0" applyFont="1" applyBorder="1"/>
    <xf numFmtId="0" fontId="19" fillId="0" borderId="0" xfId="0" applyFont="1"/>
    <xf numFmtId="0" fontId="19" fillId="0" borderId="4" xfId="0" applyFont="1" applyBorder="1"/>
    <xf numFmtId="0" fontId="19" fillId="0" borderId="6" xfId="0" applyFont="1" applyBorder="1"/>
    <xf numFmtId="0" fontId="19" fillId="0" borderId="12" xfId="0" applyFont="1" applyBorder="1"/>
    <xf numFmtId="0" fontId="19" fillId="0" borderId="14" xfId="0" applyFont="1" applyBorder="1"/>
    <xf numFmtId="0" fontId="25" fillId="0" borderId="0" xfId="0" applyFont="1" applyAlignment="1">
      <alignment horizontal="left"/>
    </xf>
    <xf numFmtId="0" fontId="34" fillId="15" borderId="2" xfId="0" applyFont="1" applyFill="1" applyBorder="1" applyAlignment="1">
      <alignment horizontal="center" vertical="center" wrapText="1"/>
    </xf>
    <xf numFmtId="0" fontId="34" fillId="15" borderId="2" xfId="0" applyFont="1" applyFill="1" applyBorder="1" applyAlignment="1">
      <alignment horizontal="center" wrapText="1"/>
    </xf>
    <xf numFmtId="14" fontId="61" fillId="0" borderId="3" xfId="0" applyNumberFormat="1" applyFont="1" applyBorder="1" applyAlignment="1" applyProtection="1">
      <alignment horizontal="left"/>
      <protection locked="0"/>
    </xf>
    <xf numFmtId="0" fontId="19" fillId="0" borderId="54" xfId="0" applyFont="1" applyBorder="1" applyAlignment="1">
      <alignment horizontal="left" vertical="center" wrapText="1"/>
    </xf>
    <xf numFmtId="0" fontId="19" fillId="0" borderId="55" xfId="0" applyFont="1" applyBorder="1" applyAlignment="1">
      <alignment horizontal="left" vertical="center" wrapText="1"/>
    </xf>
    <xf numFmtId="164" fontId="19" fillId="0" borderId="56" xfId="0" applyNumberFormat="1" applyFont="1" applyBorder="1" applyAlignment="1">
      <alignment horizontal="left" vertical="center" wrapText="1"/>
    </xf>
    <xf numFmtId="166" fontId="19" fillId="0" borderId="55" xfId="0" applyNumberFormat="1" applyFont="1" applyBorder="1" applyAlignment="1">
      <alignment horizontal="left" vertical="center" wrapText="1"/>
    </xf>
    <xf numFmtId="9" fontId="19" fillId="2" borderId="55" xfId="5" applyFont="1" applyFill="1" applyBorder="1" applyAlignment="1" applyProtection="1">
      <alignment horizontal="center" vertical="center"/>
    </xf>
    <xf numFmtId="164" fontId="19" fillId="2" borderId="55" xfId="0" applyNumberFormat="1" applyFont="1" applyFill="1" applyBorder="1" applyAlignment="1">
      <alignment horizontal="center" vertical="center"/>
    </xf>
    <xf numFmtId="164" fontId="19" fillId="2" borderId="5" xfId="0" applyNumberFormat="1" applyFont="1" applyFill="1" applyBorder="1" applyAlignment="1">
      <alignment horizontal="center" vertical="center"/>
    </xf>
    <xf numFmtId="3" fontId="21" fillId="16" borderId="55" xfId="0" applyNumberFormat="1" applyFont="1" applyFill="1" applyBorder="1" applyAlignment="1">
      <alignment horizontal="center" vertical="center"/>
    </xf>
    <xf numFmtId="0" fontId="19" fillId="0" borderId="2" xfId="0" applyFont="1" applyBorder="1"/>
    <xf numFmtId="0" fontId="19" fillId="0" borderId="3" xfId="0" applyFont="1" applyBorder="1"/>
    <xf numFmtId="0" fontId="19" fillId="0" borderId="55" xfId="0" applyFont="1" applyBorder="1"/>
    <xf numFmtId="0" fontId="19" fillId="0" borderId="58" xfId="0" applyFont="1" applyBorder="1"/>
    <xf numFmtId="0" fontId="19" fillId="0" borderId="59" xfId="0" applyFont="1" applyBorder="1"/>
    <xf numFmtId="164" fontId="19" fillId="0" borderId="2" xfId="0" applyNumberFormat="1" applyFont="1" applyBorder="1" applyAlignment="1">
      <alignment horizontal="left" vertical="center" wrapText="1"/>
    </xf>
    <xf numFmtId="164" fontId="19" fillId="0" borderId="55" xfId="0" applyNumberFormat="1" applyFont="1" applyBorder="1" applyAlignment="1">
      <alignment horizontal="left" vertical="center" wrapText="1"/>
    </xf>
    <xf numFmtId="0" fontId="19" fillId="0" borderId="4" xfId="0" applyFont="1" applyBorder="1" applyAlignment="1">
      <alignment wrapText="1"/>
    </xf>
    <xf numFmtId="0" fontId="19" fillId="0" borderId="55" xfId="0" applyFont="1" applyBorder="1" applyAlignment="1">
      <alignment wrapText="1"/>
    </xf>
    <xf numFmtId="1" fontId="19" fillId="0" borderId="52" xfId="0" applyNumberFormat="1" applyFont="1" applyBorder="1" applyAlignment="1">
      <alignment horizontal="left" vertical="center" wrapText="1"/>
    </xf>
    <xf numFmtId="1" fontId="19" fillId="0" borderId="55" xfId="0" applyNumberFormat="1" applyFont="1" applyBorder="1" applyAlignment="1">
      <alignment horizontal="left" vertical="center" wrapText="1"/>
    </xf>
    <xf numFmtId="0" fontId="19" fillId="0" borderId="52" xfId="0" applyFont="1" applyBorder="1"/>
    <xf numFmtId="0" fontId="20" fillId="0" borderId="14" xfId="0" applyFont="1" applyBorder="1"/>
    <xf numFmtId="0" fontId="19" fillId="2" borderId="52" xfId="0" applyFont="1" applyFill="1" applyBorder="1" applyAlignment="1">
      <alignment horizontal="center" vertical="center" wrapText="1"/>
    </xf>
    <xf numFmtId="3" fontId="19" fillId="2" borderId="55" xfId="0" applyNumberFormat="1" applyFont="1" applyFill="1" applyBorder="1" applyAlignment="1">
      <alignment horizontal="center" vertical="center"/>
    </xf>
    <xf numFmtId="0" fontId="19" fillId="0" borderId="57" xfId="0" applyFont="1" applyBorder="1" applyAlignment="1">
      <alignment horizontal="left" vertical="center" wrapText="1"/>
    </xf>
    <xf numFmtId="0" fontId="19" fillId="0" borderId="57" xfId="0" applyFont="1" applyBorder="1" applyAlignment="1">
      <alignment vertical="center" wrapText="1"/>
    </xf>
    <xf numFmtId="0" fontId="19" fillId="0" borderId="51" xfId="0" applyFont="1" applyBorder="1" applyAlignment="1">
      <alignment horizontal="center" vertical="center" wrapText="1"/>
    </xf>
    <xf numFmtId="3" fontId="19" fillId="0" borderId="55" xfId="0" applyNumberFormat="1" applyFont="1" applyBorder="1" applyAlignment="1">
      <alignment horizontal="center" vertical="center"/>
    </xf>
    <xf numFmtId="0" fontId="62" fillId="0" borderId="0" xfId="0" applyFont="1" applyAlignment="1">
      <alignment vertical="top" wrapText="1"/>
    </xf>
    <xf numFmtId="0" fontId="63" fillId="0" borderId="0" xfId="0" applyFont="1" applyAlignment="1">
      <alignment vertical="center" wrapText="1"/>
    </xf>
    <xf numFmtId="2" fontId="1" fillId="0" borderId="1" xfId="5" applyNumberFormat="1" applyFont="1" applyFill="1" applyBorder="1" applyAlignment="1" applyProtection="1">
      <alignment horizontal="center" vertical="center"/>
    </xf>
    <xf numFmtId="0" fontId="19" fillId="0" borderId="1" xfId="0" applyFont="1" applyBorder="1" applyAlignment="1">
      <alignment horizontal="center" vertical="center"/>
    </xf>
    <xf numFmtId="0" fontId="20" fillId="13" borderId="1" xfId="0" applyFont="1" applyFill="1" applyBorder="1" applyAlignment="1">
      <alignment horizontal="center"/>
    </xf>
    <xf numFmtId="1" fontId="1" fillId="0" borderId="1" xfId="5" applyNumberFormat="1" applyFont="1" applyFill="1" applyBorder="1" applyAlignment="1" applyProtection="1">
      <alignment horizontal="center" vertical="center"/>
    </xf>
    <xf numFmtId="0" fontId="19" fillId="0" borderId="66" xfId="0" applyFont="1" applyBorder="1" applyAlignment="1">
      <alignment wrapText="1"/>
    </xf>
    <xf numFmtId="0" fontId="19" fillId="0" borderId="67" xfId="0" applyFont="1" applyBorder="1" applyAlignment="1">
      <alignment wrapText="1"/>
    </xf>
    <xf numFmtId="0" fontId="19" fillId="0" borderId="58" xfId="0" applyFont="1" applyBorder="1" applyAlignment="1">
      <alignment wrapText="1"/>
    </xf>
    <xf numFmtId="0" fontId="19" fillId="0" borderId="59" xfId="0" applyFont="1" applyBorder="1" applyAlignment="1">
      <alignment wrapText="1"/>
    </xf>
    <xf numFmtId="0" fontId="19" fillId="0" borderId="10" xfId="0" applyFont="1" applyBorder="1" applyAlignment="1">
      <alignment horizontal="left" vertical="center" wrapText="1"/>
    </xf>
    <xf numFmtId="0" fontId="19" fillId="0" borderId="69" xfId="0" applyFont="1" applyBorder="1" applyAlignment="1">
      <alignment horizontal="left" vertical="center" wrapText="1"/>
    </xf>
    <xf numFmtId="0" fontId="1" fillId="0" borderId="0" xfId="0" applyFont="1" applyAlignment="1">
      <alignment vertical="center"/>
    </xf>
    <xf numFmtId="0" fontId="13" fillId="13" borderId="11" xfId="0" applyFont="1" applyFill="1" applyBorder="1" applyAlignment="1">
      <alignment horizontal="center" vertical="center"/>
    </xf>
    <xf numFmtId="0" fontId="13" fillId="13" borderId="33" xfId="0" applyFont="1" applyFill="1" applyBorder="1" applyAlignment="1">
      <alignment horizontal="center" vertical="center"/>
    </xf>
    <xf numFmtId="0" fontId="13" fillId="13" borderId="10" xfId="0" applyFont="1" applyFill="1" applyBorder="1" applyAlignment="1">
      <alignment horizontal="center" vertical="center"/>
    </xf>
    <xf numFmtId="0" fontId="46" fillId="4" borderId="72" xfId="4" applyFont="1" applyBorder="1" applyAlignment="1" applyProtection="1">
      <alignment horizontal="center" vertical="center"/>
      <protection locked="0"/>
    </xf>
    <xf numFmtId="0" fontId="46" fillId="4" borderId="1" xfId="4" applyFont="1" applyBorder="1" applyAlignment="1" applyProtection="1">
      <alignment horizontal="center" vertical="center"/>
      <protection locked="0"/>
    </xf>
    <xf numFmtId="0" fontId="1" fillId="0" borderId="20" xfId="0" applyFont="1" applyBorder="1" applyAlignment="1">
      <alignment horizontal="left" vertical="center"/>
    </xf>
    <xf numFmtId="0" fontId="1" fillId="0" borderId="0" xfId="0" applyFont="1" applyAlignment="1">
      <alignment horizontal="left" vertical="center"/>
    </xf>
    <xf numFmtId="164" fontId="1" fillId="0" borderId="27" xfId="0" applyNumberFormat="1" applyFont="1" applyBorder="1" applyAlignment="1">
      <alignment horizontal="left" vertical="center"/>
    </xf>
    <xf numFmtId="164" fontId="1" fillId="0" borderId="20" xfId="0" applyNumberFormat="1" applyFont="1" applyBorder="1" applyAlignment="1">
      <alignment horizontal="left" vertical="center"/>
    </xf>
    <xf numFmtId="0" fontId="12" fillId="0" borderId="28" xfId="0" applyFont="1" applyBorder="1" applyAlignment="1">
      <alignment horizontal="center"/>
    </xf>
    <xf numFmtId="0" fontId="60" fillId="0" borderId="1" xfId="1" applyFont="1" applyBorder="1" applyAlignment="1" applyProtection="1">
      <alignment horizontal="center"/>
      <protection locked="0"/>
    </xf>
    <xf numFmtId="165" fontId="60" fillId="0" borderId="1" xfId="0" applyNumberFormat="1" applyFont="1" applyBorder="1" applyAlignment="1" applyProtection="1">
      <alignment horizontal="center"/>
      <protection locked="0"/>
    </xf>
    <xf numFmtId="0" fontId="46" fillId="4" borderId="73" xfId="4" applyFont="1" applyBorder="1" applyAlignment="1" applyProtection="1">
      <alignment horizontal="center" vertical="center"/>
      <protection locked="0"/>
    </xf>
    <xf numFmtId="0" fontId="58" fillId="0" borderId="4" xfId="0" applyFont="1" applyBorder="1"/>
    <xf numFmtId="0" fontId="58" fillId="0" borderId="5" xfId="0" applyFont="1" applyBorder="1"/>
    <xf numFmtId="167" fontId="59" fillId="0" borderId="15" xfId="0" applyNumberFormat="1" applyFont="1" applyBorder="1"/>
    <xf numFmtId="167" fontId="61" fillId="0" borderId="3" xfId="0" applyNumberFormat="1" applyFont="1" applyBorder="1"/>
    <xf numFmtId="167" fontId="59" fillId="0" borderId="1" xfId="0" applyNumberFormat="1" applyFont="1" applyBorder="1" applyAlignment="1">
      <alignment horizontal="center"/>
    </xf>
    <xf numFmtId="0" fontId="58" fillId="0" borderId="4" xfId="0" applyFont="1" applyBorder="1" applyAlignment="1">
      <alignment horizontal="left"/>
    </xf>
    <xf numFmtId="0" fontId="58" fillId="0" borderId="5" xfId="0" applyFont="1" applyBorder="1" applyAlignment="1">
      <alignment horizontal="left"/>
    </xf>
    <xf numFmtId="167" fontId="59" fillId="0" borderId="2" xfId="0" applyNumberFormat="1" applyFont="1" applyBorder="1"/>
    <xf numFmtId="0" fontId="60" fillId="0" borderId="1" xfId="1" applyFont="1" applyBorder="1" applyAlignment="1">
      <alignment horizontal="center"/>
    </xf>
    <xf numFmtId="0" fontId="61" fillId="0" borderId="1" xfId="1" applyFont="1" applyBorder="1" applyAlignment="1">
      <alignment horizontal="center"/>
    </xf>
    <xf numFmtId="165" fontId="60" fillId="0" borderId="1" xfId="0" applyNumberFormat="1" applyFont="1" applyBorder="1" applyAlignment="1">
      <alignment horizontal="center"/>
    </xf>
    <xf numFmtId="14" fontId="61" fillId="0" borderId="3" xfId="0" applyNumberFormat="1" applyFont="1" applyBorder="1" applyAlignment="1">
      <alignment horizontal="left"/>
    </xf>
    <xf numFmtId="9" fontId="12" fillId="0" borderId="0" xfId="0" applyNumberFormat="1" applyFont="1" applyAlignment="1">
      <alignment horizontal="center" vertical="center"/>
    </xf>
    <xf numFmtId="164" fontId="12" fillId="0" borderId="0" xfId="0" applyNumberFormat="1" applyFont="1" applyAlignment="1">
      <alignment horizontal="center" vertical="center"/>
    </xf>
    <xf numFmtId="0" fontId="1" fillId="0" borderId="11" xfId="0" applyFont="1" applyBorder="1" applyAlignment="1">
      <alignment horizontal="center" vertical="center"/>
    </xf>
    <xf numFmtId="0" fontId="15" fillId="0" borderId="20" xfId="0" applyFont="1" applyBorder="1" applyAlignment="1">
      <alignment horizontal="left"/>
    </xf>
    <xf numFmtId="164" fontId="1" fillId="0" borderId="0" xfId="0" applyNumberFormat="1" applyFont="1" applyAlignment="1">
      <alignment horizontal="left" vertical="center"/>
    </xf>
    <xf numFmtId="0" fontId="18" fillId="0" borderId="10" xfId="0" applyFont="1" applyBorder="1" applyAlignment="1">
      <alignment horizontal="center"/>
    </xf>
    <xf numFmtId="0" fontId="18" fillId="0" borderId="0" xfId="0" applyFont="1" applyAlignment="1">
      <alignment horizontal="center"/>
    </xf>
    <xf numFmtId="0" fontId="18" fillId="0" borderId="21" xfId="0" applyFont="1" applyBorder="1" applyAlignment="1">
      <alignment horizontal="center"/>
    </xf>
    <xf numFmtId="0" fontId="12" fillId="0" borderId="20" xfId="0" applyFont="1" applyBorder="1"/>
    <xf numFmtId="0" fontId="12" fillId="0" borderId="11" xfId="0" applyFont="1" applyBorder="1" applyAlignment="1">
      <alignment horizontal="center"/>
    </xf>
    <xf numFmtId="0" fontId="12" fillId="0" borderId="21" xfId="0" applyFont="1" applyBorder="1"/>
    <xf numFmtId="0" fontId="15" fillId="0" borderId="20" xfId="0" applyFont="1" applyBorder="1" applyAlignment="1">
      <alignment horizontal="center"/>
    </xf>
    <xf numFmtId="9" fontId="1" fillId="0" borderId="0" xfId="0" applyNumberFormat="1" applyFont="1" applyAlignment="1">
      <alignment horizontal="left" vertical="center"/>
    </xf>
    <xf numFmtId="0" fontId="1" fillId="0" borderId="28" xfId="0" applyFont="1" applyBorder="1" applyAlignment="1">
      <alignment horizontal="center" vertical="center"/>
    </xf>
    <xf numFmtId="0" fontId="1" fillId="0" borderId="20" xfId="0" applyFont="1" applyBorder="1" applyAlignment="1">
      <alignment horizontal="center" vertical="center"/>
    </xf>
    <xf numFmtId="0" fontId="1" fillId="0" borderId="10" xfId="0" applyFont="1" applyBorder="1" applyAlignment="1">
      <alignment horizontal="left" vertical="center" wrapText="1"/>
    </xf>
    <xf numFmtId="0" fontId="1" fillId="0" borderId="0" xfId="0" applyFont="1" applyAlignment="1">
      <alignment horizontal="left" vertical="center" wrapText="1"/>
    </xf>
    <xf numFmtId="0" fontId="1" fillId="0" borderId="21" xfId="0" applyFont="1" applyBorder="1" applyAlignment="1">
      <alignment horizontal="left" vertical="center" wrapText="1"/>
    </xf>
    <xf numFmtId="3" fontId="1" fillId="0" borderId="0" xfId="0" applyNumberFormat="1" applyFont="1" applyAlignment="1">
      <alignment horizontal="center" vertical="center"/>
    </xf>
    <xf numFmtId="0" fontId="16" fillId="0" borderId="0" xfId="0" applyFont="1" applyAlignment="1">
      <alignment vertical="center"/>
    </xf>
    <xf numFmtId="0" fontId="11" fillId="0" borderId="0" xfId="0" applyFont="1"/>
    <xf numFmtId="0" fontId="0" fillId="0" borderId="7" xfId="0" applyBorder="1" applyAlignment="1">
      <alignment horizontal="center"/>
    </xf>
    <xf numFmtId="0" fontId="0" fillId="0" borderId="8" xfId="0" applyBorder="1" applyAlignment="1">
      <alignment horizontal="center"/>
    </xf>
    <xf numFmtId="167" fontId="47" fillId="0" borderId="0" xfId="0" applyNumberFormat="1" applyFont="1" applyAlignment="1">
      <alignment vertical="center"/>
    </xf>
    <xf numFmtId="167" fontId="47" fillId="0" borderId="0" xfId="0" applyNumberFormat="1" applyFont="1" applyAlignment="1">
      <alignment horizontal="center" vertical="center"/>
    </xf>
    <xf numFmtId="0" fontId="55" fillId="0" borderId="4" xfId="0" applyFont="1" applyBorder="1" applyAlignment="1">
      <alignment horizontal="left"/>
    </xf>
    <xf numFmtId="0" fontId="55" fillId="0" borderId="5" xfId="0" applyFont="1" applyBorder="1" applyAlignment="1">
      <alignment horizontal="left"/>
    </xf>
    <xf numFmtId="167" fontId="56" fillId="0" borderId="15" xfId="0" applyNumberFormat="1" applyFont="1" applyBorder="1"/>
    <xf numFmtId="167" fontId="28" fillId="0" borderId="0" xfId="0" applyNumberFormat="1" applyFont="1"/>
    <xf numFmtId="167" fontId="28" fillId="0" borderId="0" xfId="0" applyNumberFormat="1" applyFont="1" applyAlignment="1">
      <alignment horizontal="center"/>
    </xf>
    <xf numFmtId="167" fontId="54" fillId="0" borderId="1" xfId="0" applyNumberFormat="1" applyFont="1" applyBorder="1" applyAlignment="1">
      <alignment horizontal="center"/>
    </xf>
    <xf numFmtId="167" fontId="56" fillId="0" borderId="2" xfId="0" applyNumberFormat="1" applyFont="1" applyBorder="1"/>
    <xf numFmtId="165" fontId="23" fillId="0" borderId="0" xfId="0" applyNumberFormat="1" applyFont="1"/>
    <xf numFmtId="14" fontId="54" fillId="0" borderId="3" xfId="0" applyNumberFormat="1" applyFont="1" applyBorder="1" applyAlignment="1">
      <alignment horizontal="left"/>
    </xf>
    <xf numFmtId="0" fontId="20" fillId="6" borderId="1" xfId="0" applyFont="1" applyFill="1" applyBorder="1" applyAlignment="1">
      <alignment horizontal="center"/>
    </xf>
    <xf numFmtId="0" fontId="20" fillId="6" borderId="7" xfId="0" applyFont="1" applyFill="1" applyBorder="1" applyAlignment="1">
      <alignment horizontal="center"/>
    </xf>
    <xf numFmtId="0" fontId="19" fillId="0" borderId="12" xfId="0" applyFont="1" applyBorder="1" applyAlignment="1">
      <alignment wrapText="1"/>
    </xf>
    <xf numFmtId="0" fontId="45" fillId="0" borderId="0" xfId="7" applyAlignment="1" applyProtection="1"/>
    <xf numFmtId="0" fontId="49" fillId="0" borderId="0" xfId="7" applyFont="1" applyAlignment="1" applyProtection="1">
      <alignment horizontal="left"/>
    </xf>
    <xf numFmtId="0" fontId="41" fillId="0" borderId="0" xfId="0" applyFont="1" applyAlignment="1">
      <alignment horizontal="right"/>
    </xf>
    <xf numFmtId="0" fontId="19" fillId="0" borderId="2" xfId="0" applyFont="1" applyBorder="1" applyAlignment="1">
      <alignment horizontal="left" vertical="center"/>
    </xf>
    <xf numFmtId="0" fontId="19" fillId="0" borderId="15" xfId="0" applyFont="1" applyBorder="1" applyAlignment="1">
      <alignment horizontal="left" vertical="center"/>
    </xf>
    <xf numFmtId="0" fontId="19" fillId="0" borderId="3" xfId="0" applyFont="1" applyBorder="1" applyAlignment="1">
      <alignment horizontal="left" vertical="center"/>
    </xf>
    <xf numFmtId="0" fontId="10" fillId="4" borderId="35" xfId="4" applyAlignment="1" applyProtection="1">
      <alignment horizontal="center"/>
      <protection locked="0"/>
    </xf>
    <xf numFmtId="164" fontId="10" fillId="4" borderId="43" xfId="4" applyNumberFormat="1" applyBorder="1" applyAlignment="1" applyProtection="1">
      <alignment horizontal="center" vertical="center"/>
      <protection locked="0"/>
    </xf>
    <xf numFmtId="1" fontId="10" fillId="4" borderId="43" xfId="4" applyNumberFormat="1" applyBorder="1" applyAlignment="1" applyProtection="1">
      <alignment horizontal="center" vertical="center"/>
      <protection locked="0"/>
    </xf>
    <xf numFmtId="167" fontId="6" fillId="0" borderId="0" xfId="0" applyNumberFormat="1" applyFont="1" applyAlignment="1">
      <alignment horizontal="right"/>
    </xf>
    <xf numFmtId="167" fontId="11" fillId="0" borderId="0" xfId="0" applyNumberFormat="1" applyFont="1"/>
    <xf numFmtId="0" fontId="60" fillId="0" borderId="12" xfId="0" applyFont="1" applyBorder="1" applyAlignment="1">
      <alignment horizontal="left"/>
    </xf>
    <xf numFmtId="0" fontId="60" fillId="0" borderId="13" xfId="0" applyFont="1" applyBorder="1" applyAlignment="1">
      <alignment horizontal="left"/>
    </xf>
    <xf numFmtId="165" fontId="60" fillId="0" borderId="2" xfId="0" applyNumberFormat="1" applyFont="1" applyBorder="1" applyAlignment="1">
      <alignment horizontal="center"/>
    </xf>
    <xf numFmtId="165" fontId="60" fillId="0" borderId="1" xfId="0" applyNumberFormat="1" applyFont="1" applyBorder="1"/>
    <xf numFmtId="167" fontId="1" fillId="0" borderId="0" xfId="0" applyNumberFormat="1" applyFont="1"/>
    <xf numFmtId="0" fontId="20" fillId="10" borderId="4" xfId="0" applyFont="1" applyFill="1" applyBorder="1" applyAlignment="1">
      <alignment horizontal="center"/>
    </xf>
    <xf numFmtId="0" fontId="20" fillId="10" borderId="1" xfId="0" applyFont="1" applyFill="1" applyBorder="1" applyAlignment="1">
      <alignment horizontal="center"/>
    </xf>
    <xf numFmtId="0" fontId="20" fillId="10" borderId="2" xfId="0" applyFont="1" applyFill="1" applyBorder="1" applyAlignment="1">
      <alignment horizontal="center"/>
    </xf>
    <xf numFmtId="0" fontId="19" fillId="0" borderId="54" xfId="0" applyFont="1" applyBorder="1" applyAlignment="1">
      <alignment horizontal="left"/>
    </xf>
    <xf numFmtId="0" fontId="19" fillId="0" borderId="55" xfId="0" applyFont="1" applyBorder="1" applyAlignment="1">
      <alignment horizontal="left"/>
    </xf>
    <xf numFmtId="9" fontId="19" fillId="0" borderId="55" xfId="0" applyNumberFormat="1" applyFont="1" applyBorder="1" applyAlignment="1">
      <alignment horizontal="left" vertical="center" wrapText="1"/>
    </xf>
    <xf numFmtId="0" fontId="19" fillId="0" borderId="55" xfId="0" applyFont="1" applyBorder="1" applyAlignment="1">
      <alignment horizontal="center"/>
    </xf>
    <xf numFmtId="0" fontId="11" fillId="0" borderId="0" xfId="0" applyFont="1" applyAlignment="1">
      <alignment horizontal="center"/>
    </xf>
    <xf numFmtId="0" fontId="19" fillId="0" borderId="13" xfId="0" applyFont="1" applyBorder="1" applyAlignment="1">
      <alignment horizontal="center"/>
    </xf>
    <xf numFmtId="0" fontId="19" fillId="0" borderId="56" xfId="0" applyFont="1" applyBorder="1" applyAlignment="1">
      <alignment horizontal="left"/>
    </xf>
    <xf numFmtId="0" fontId="19" fillId="0" borderId="0" xfId="0" applyFont="1" applyAlignment="1">
      <alignment horizontal="left"/>
    </xf>
    <xf numFmtId="0" fontId="30" fillId="0" borderId="0" xfId="0" applyFont="1" applyAlignment="1">
      <alignment horizontal="left"/>
    </xf>
    <xf numFmtId="167" fontId="20" fillId="0" borderId="0" xfId="0" applyNumberFormat="1" applyFont="1"/>
    <xf numFmtId="0" fontId="20" fillId="10" borderId="15" xfId="0" applyFont="1" applyFill="1" applyBorder="1" applyAlignment="1">
      <alignment horizontal="center"/>
    </xf>
    <xf numFmtId="0" fontId="20" fillId="10" borderId="10" xfId="0" applyFont="1" applyFill="1" applyBorder="1" applyAlignment="1">
      <alignment horizontal="center"/>
    </xf>
    <xf numFmtId="0" fontId="19" fillId="0" borderId="4" xfId="0" applyFont="1" applyBorder="1" applyAlignment="1">
      <alignment horizontal="left"/>
    </xf>
    <xf numFmtId="3" fontId="11" fillId="0" borderId="0" xfId="0" applyNumberFormat="1" applyFont="1"/>
    <xf numFmtId="0" fontId="19" fillId="0" borderId="12" xfId="0" applyFont="1" applyBorder="1" applyAlignment="1">
      <alignment horizontal="left"/>
    </xf>
    <xf numFmtId="0" fontId="19" fillId="0" borderId="11" xfId="0" applyFont="1" applyBorder="1" applyAlignment="1">
      <alignment horizontal="left"/>
    </xf>
    <xf numFmtId="0" fontId="19" fillId="0" borderId="68" xfId="0" applyFont="1" applyBorder="1" applyAlignment="1">
      <alignment horizontal="left"/>
    </xf>
    <xf numFmtId="0" fontId="17" fillId="0" borderId="55" xfId="0" applyFont="1" applyBorder="1" applyAlignment="1">
      <alignment wrapText="1"/>
    </xf>
    <xf numFmtId="0" fontId="17" fillId="0" borderId="55" xfId="0" applyFont="1" applyBorder="1"/>
    <xf numFmtId="3" fontId="17" fillId="2" borderId="57" xfId="0" applyNumberFormat="1" applyFont="1" applyFill="1" applyBorder="1" applyAlignment="1">
      <alignment horizontal="center" vertical="center"/>
    </xf>
    <xf numFmtId="0" fontId="19" fillId="0" borderId="3" xfId="0" applyFont="1" applyBorder="1" applyAlignment="1">
      <alignment wrapText="1"/>
    </xf>
    <xf numFmtId="0" fontId="17" fillId="0" borderId="56" xfId="0" applyFont="1" applyBorder="1"/>
    <xf numFmtId="0" fontId="11" fillId="0" borderId="0" xfId="0" applyFont="1" applyAlignment="1">
      <alignment horizontal="left"/>
    </xf>
    <xf numFmtId="0" fontId="20" fillId="10" borderId="6" xfId="0" applyFont="1" applyFill="1" applyBorder="1" applyAlignment="1">
      <alignment horizontal="center"/>
    </xf>
    <xf numFmtId="0" fontId="17" fillId="0" borderId="54" xfId="0" applyFont="1" applyBorder="1"/>
    <xf numFmtId="3" fontId="17" fillId="0" borderId="55" xfId="0" applyNumberFormat="1" applyFont="1" applyBorder="1" applyAlignment="1">
      <alignment horizontal="center"/>
    </xf>
    <xf numFmtId="0" fontId="17" fillId="0" borderId="55" xfId="0" applyFont="1" applyBorder="1" applyAlignment="1">
      <alignment vertical="center"/>
    </xf>
    <xf numFmtId="0" fontId="17" fillId="0" borderId="55" xfId="0" applyFont="1" applyBorder="1" applyAlignment="1">
      <alignment horizontal="center"/>
    </xf>
    <xf numFmtId="0" fontId="17" fillId="0" borderId="0" xfId="0" applyFont="1" applyAlignment="1">
      <alignment horizontal="center"/>
    </xf>
    <xf numFmtId="0" fontId="30" fillId="0" borderId="1" xfId="0" applyFont="1" applyBorder="1"/>
    <xf numFmtId="0" fontId="17" fillId="0" borderId="57" xfId="0" applyFont="1" applyBorder="1"/>
    <xf numFmtId="0" fontId="17" fillId="0" borderId="54" xfId="0" applyFont="1" applyBorder="1" applyAlignment="1">
      <alignment vertical="center"/>
    </xf>
    <xf numFmtId="3" fontId="17" fillId="2" borderId="5" xfId="0" applyNumberFormat="1" applyFont="1" applyFill="1" applyBorder="1" applyAlignment="1">
      <alignment horizontal="center" vertical="center"/>
    </xf>
    <xf numFmtId="0" fontId="19" fillId="0" borderId="55" xfId="0" applyFont="1" applyBorder="1" applyAlignment="1">
      <alignment horizontal="left" vertical="center"/>
    </xf>
    <xf numFmtId="0" fontId="22" fillId="4" borderId="2" xfId="4" applyFont="1" applyBorder="1" applyAlignment="1" applyProtection="1">
      <alignment horizontal="center"/>
      <protection locked="0"/>
    </xf>
    <xf numFmtId="0" fontId="20" fillId="0" borderId="0" xfId="0" applyFont="1" applyAlignment="1">
      <alignment horizontal="center"/>
    </xf>
    <xf numFmtId="167" fontId="26" fillId="0" borderId="0" xfId="0" applyNumberFormat="1" applyFont="1" applyAlignment="1">
      <alignment horizontal="right"/>
    </xf>
    <xf numFmtId="0" fontId="58" fillId="0" borderId="10" xfId="0" applyFont="1" applyBorder="1" applyAlignment="1">
      <alignment horizontal="left"/>
    </xf>
    <xf numFmtId="0" fontId="58" fillId="0" borderId="0" xfId="0" applyFont="1" applyAlignment="1">
      <alignment horizontal="left"/>
    </xf>
    <xf numFmtId="165" fontId="23" fillId="0" borderId="0" xfId="0" applyNumberFormat="1" applyFont="1" applyAlignment="1">
      <alignment horizontal="center"/>
    </xf>
    <xf numFmtId="0" fontId="20" fillId="8" borderId="4" xfId="0" applyFont="1" applyFill="1" applyBorder="1" applyAlignment="1">
      <alignment horizontal="center"/>
    </xf>
    <xf numFmtId="0" fontId="20" fillId="8" borderId="1" xfId="0" applyFont="1" applyFill="1" applyBorder="1" applyAlignment="1">
      <alignment horizontal="center"/>
    </xf>
    <xf numFmtId="0" fontId="20" fillId="8" borderId="2" xfId="0" applyFont="1" applyFill="1" applyBorder="1" applyAlignment="1">
      <alignment horizontal="center"/>
    </xf>
    <xf numFmtId="0" fontId="20" fillId="8" borderId="15" xfId="0" applyFont="1" applyFill="1" applyBorder="1" applyAlignment="1">
      <alignment horizontal="center"/>
    </xf>
    <xf numFmtId="0" fontId="20" fillId="8" borderId="10" xfId="0" applyFont="1" applyFill="1" applyBorder="1" applyAlignment="1">
      <alignment horizontal="center"/>
    </xf>
    <xf numFmtId="0" fontId="51" fillId="0" borderId="0" xfId="0" applyFont="1"/>
    <xf numFmtId="0" fontId="21" fillId="0" borderId="0" xfId="0" applyFont="1"/>
    <xf numFmtId="3" fontId="19" fillId="0" borderId="0" xfId="0" applyNumberFormat="1" applyFont="1"/>
    <xf numFmtId="3" fontId="19" fillId="2" borderId="57" xfId="0" applyNumberFormat="1" applyFont="1" applyFill="1" applyBorder="1" applyAlignment="1">
      <alignment horizontal="center" vertical="center"/>
    </xf>
    <xf numFmtId="0" fontId="29" fillId="0" borderId="0" xfId="0" applyFont="1"/>
    <xf numFmtId="167" fontId="44" fillId="0" borderId="10" xfId="0" applyNumberFormat="1" applyFont="1" applyBorder="1" applyAlignment="1">
      <alignment vertical="center"/>
    </xf>
    <xf numFmtId="167" fontId="44" fillId="0" borderId="0" xfId="0" applyNumberFormat="1" applyFont="1" applyAlignment="1">
      <alignment vertical="center"/>
    </xf>
    <xf numFmtId="0" fontId="20" fillId="18" borderId="4" xfId="0" applyFont="1" applyFill="1" applyBorder="1" applyAlignment="1">
      <alignment horizontal="center"/>
    </xf>
    <xf numFmtId="0" fontId="20" fillId="18" borderId="1" xfId="0" applyFont="1" applyFill="1" applyBorder="1" applyAlignment="1">
      <alignment horizontal="center"/>
    </xf>
    <xf numFmtId="0" fontId="20" fillId="18" borderId="2" xfId="0" applyFont="1" applyFill="1" applyBorder="1" applyAlignment="1">
      <alignment horizontal="center"/>
    </xf>
    <xf numFmtId="0" fontId="17" fillId="0" borderId="58" xfId="0" applyFont="1" applyBorder="1" applyAlignment="1">
      <alignment wrapText="1"/>
    </xf>
    <xf numFmtId="3" fontId="17" fillId="2" borderId="55" xfId="0" applyNumberFormat="1" applyFont="1" applyFill="1" applyBorder="1" applyAlignment="1">
      <alignment horizontal="center" vertical="center"/>
    </xf>
    <xf numFmtId="0" fontId="17" fillId="0" borderId="59" xfId="0" applyFont="1" applyBorder="1" applyAlignment="1">
      <alignment wrapText="1"/>
    </xf>
    <xf numFmtId="0" fontId="17" fillId="0" borderId="64" xfId="0" applyFont="1" applyBorder="1" applyAlignment="1">
      <alignment wrapText="1"/>
    </xf>
    <xf numFmtId="0" fontId="17" fillId="0" borderId="65" xfId="0" applyFont="1" applyBorder="1" applyAlignment="1">
      <alignment wrapText="1"/>
    </xf>
    <xf numFmtId="3" fontId="17" fillId="2" borderId="0" xfId="0" applyNumberFormat="1" applyFont="1" applyFill="1" applyAlignment="1">
      <alignment horizontal="center" vertical="center"/>
    </xf>
    <xf numFmtId="0" fontId="17" fillId="0" borderId="0" xfId="0" applyFont="1"/>
    <xf numFmtId="0" fontId="20" fillId="18" borderId="10" xfId="0" applyFont="1" applyFill="1" applyBorder="1" applyAlignment="1">
      <alignment horizontal="center"/>
    </xf>
    <xf numFmtId="3" fontId="10" fillId="4" borderId="62" xfId="4" applyNumberFormat="1" applyBorder="1" applyAlignment="1" applyProtection="1">
      <alignment horizontal="center"/>
      <protection locked="0"/>
    </xf>
    <xf numFmtId="0" fontId="10" fillId="4" borderId="63" xfId="4" applyBorder="1" applyAlignment="1" applyProtection="1">
      <alignment horizontal="center"/>
      <protection locked="0"/>
    </xf>
    <xf numFmtId="0" fontId="10" fillId="4" borderId="0" xfId="4" applyBorder="1" applyAlignment="1" applyProtection="1">
      <alignment horizontal="center"/>
      <protection locked="0"/>
    </xf>
    <xf numFmtId="0" fontId="19" fillId="0" borderId="4" xfId="0" applyFont="1" applyBorder="1" applyAlignment="1">
      <alignment horizontal="left" vertical="center"/>
    </xf>
    <xf numFmtId="0" fontId="69" fillId="0" borderId="3" xfId="4" applyFont="1" applyFill="1" applyBorder="1" applyAlignment="1" applyProtection="1">
      <alignment horizontal="center" vertical="center"/>
    </xf>
    <xf numFmtId="0" fontId="69" fillId="0" borderId="1" xfId="0" applyFont="1" applyBorder="1" applyAlignment="1">
      <alignment horizontal="center" vertical="center"/>
    </xf>
    <xf numFmtId="0" fontId="69" fillId="0" borderId="1" xfId="4" applyFont="1" applyFill="1" applyBorder="1" applyAlignment="1" applyProtection="1">
      <alignment horizontal="center" vertical="center"/>
    </xf>
    <xf numFmtId="0" fontId="12" fillId="0" borderId="0" xfId="0" applyFont="1" applyAlignment="1">
      <alignment horizontal="left"/>
    </xf>
    <xf numFmtId="0" fontId="61" fillId="0" borderId="3" xfId="0" applyFont="1" applyBorder="1" applyAlignment="1" applyProtection="1">
      <alignment horizontal="left"/>
      <protection locked="0"/>
    </xf>
    <xf numFmtId="14" fontId="61" fillId="0" borderId="1" xfId="1" applyNumberFormat="1" applyFont="1" applyBorder="1" applyAlignment="1" applyProtection="1">
      <alignment horizontal="center"/>
      <protection locked="0"/>
    </xf>
    <xf numFmtId="0" fontId="45" fillId="0" borderId="0" xfId="7" applyAlignment="1" applyProtection="1">
      <protection locked="0"/>
    </xf>
    <xf numFmtId="0" fontId="17" fillId="0" borderId="10" xfId="0" applyFont="1" applyBorder="1" applyAlignment="1">
      <alignment horizontal="left" vertical="center" wrapText="1"/>
    </xf>
    <xf numFmtId="0" fontId="17" fillId="0" borderId="0" xfId="0" applyFont="1" applyAlignment="1">
      <alignment horizontal="left" vertical="center" wrapText="1"/>
    </xf>
    <xf numFmtId="0" fontId="17" fillId="0" borderId="21" xfId="0" applyFont="1" applyBorder="1" applyAlignment="1">
      <alignment horizontal="left" vertical="center" wrapText="1"/>
    </xf>
    <xf numFmtId="2" fontId="54" fillId="0" borderId="3" xfId="0" applyNumberFormat="1" applyFont="1" applyBorder="1" applyAlignment="1">
      <alignment horizontal="left"/>
    </xf>
    <xf numFmtId="2" fontId="57" fillId="0" borderId="1" xfId="1" applyNumberFormat="1" applyFont="1" applyBorder="1" applyAlignment="1" applyProtection="1">
      <alignment horizontal="left"/>
      <protection locked="0"/>
    </xf>
    <xf numFmtId="168" fontId="54" fillId="0" borderId="1" xfId="1" applyNumberFormat="1" applyFont="1" applyBorder="1" applyAlignment="1" applyProtection="1">
      <alignment horizontal="left"/>
      <protection locked="0"/>
    </xf>
    <xf numFmtId="0" fontId="57" fillId="0" borderId="2" xfId="0" applyFont="1" applyBorder="1" applyAlignment="1" applyProtection="1">
      <alignment horizontal="left"/>
      <protection locked="0"/>
    </xf>
    <xf numFmtId="0" fontId="57" fillId="0" borderId="1" xfId="0" applyFont="1" applyBorder="1" applyAlignment="1" applyProtection="1">
      <alignment horizontal="left"/>
      <protection locked="0"/>
    </xf>
    <xf numFmtId="2" fontId="61" fillId="0" borderId="3" xfId="0" applyNumberFormat="1" applyFont="1" applyBorder="1" applyAlignment="1">
      <alignment horizontal="left"/>
    </xf>
    <xf numFmtId="0" fontId="60" fillId="0" borderId="1" xfId="1" applyFont="1" applyBorder="1" applyAlignment="1">
      <alignment horizontal="left"/>
    </xf>
    <xf numFmtId="0" fontId="60" fillId="0" borderId="2" xfId="0" applyFont="1" applyBorder="1" applyAlignment="1">
      <alignment horizontal="left"/>
    </xf>
    <xf numFmtId="0" fontId="60" fillId="0" borderId="1" xfId="0" applyFont="1" applyBorder="1" applyAlignment="1">
      <alignment horizontal="left"/>
    </xf>
    <xf numFmtId="168" fontId="61" fillId="0" borderId="1" xfId="1" applyNumberFormat="1" applyFont="1" applyBorder="1" applyAlignment="1">
      <alignment horizontal="left"/>
    </xf>
    <xf numFmtId="2" fontId="60" fillId="0" borderId="1" xfId="1" applyNumberFormat="1" applyFont="1" applyBorder="1" applyAlignment="1">
      <alignment horizontal="left"/>
    </xf>
    <xf numFmtId="3" fontId="10" fillId="4" borderId="63" xfId="4" applyNumberFormat="1" applyBorder="1" applyAlignment="1" applyProtection="1">
      <alignment horizontal="center" vertical="center"/>
      <protection locked="0"/>
    </xf>
    <xf numFmtId="3" fontId="10" fillId="4" borderId="76" xfId="4" applyNumberFormat="1" applyBorder="1" applyAlignment="1" applyProtection="1">
      <alignment horizontal="center" vertical="center"/>
      <protection locked="0"/>
    </xf>
    <xf numFmtId="0" fontId="19" fillId="0" borderId="56" xfId="0" applyFont="1" applyBorder="1"/>
    <xf numFmtId="0" fontId="19" fillId="0" borderId="0" xfId="0" applyFont="1" applyAlignment="1">
      <alignment vertical="top" wrapText="1"/>
    </xf>
    <xf numFmtId="3" fontId="1" fillId="0" borderId="2" xfId="0" applyNumberFormat="1" applyFont="1" applyBorder="1" applyAlignment="1">
      <alignment horizontal="center" vertical="center"/>
    </xf>
    <xf numFmtId="0" fontId="1" fillId="0" borderId="15" xfId="0" applyFont="1" applyBorder="1" applyAlignment="1">
      <alignment horizontal="left" vertical="center"/>
    </xf>
    <xf numFmtId="0" fontId="20" fillId="0" borderId="1" xfId="0" applyFont="1" applyBorder="1" applyAlignment="1" applyProtection="1">
      <alignment horizontal="center" vertical="center"/>
      <protection locked="0"/>
    </xf>
    <xf numFmtId="0" fontId="20" fillId="0" borderId="1" xfId="0" applyFont="1" applyBorder="1" applyAlignment="1" applyProtection="1">
      <alignment horizontal="left" vertical="top" wrapText="1"/>
      <protection locked="0"/>
    </xf>
    <xf numFmtId="15" fontId="20" fillId="0" borderId="1" xfId="0" applyNumberFormat="1" applyFont="1" applyBorder="1" applyAlignment="1" applyProtection="1">
      <alignment horizontal="center" vertical="center"/>
      <protection locked="0"/>
    </xf>
    <xf numFmtId="0" fontId="20" fillId="0" borderId="0" xfId="0" applyFont="1" applyAlignment="1">
      <alignment horizontal="left" vertical="top" wrapText="1"/>
    </xf>
    <xf numFmtId="0" fontId="20" fillId="13" borderId="1" xfId="0" applyFont="1" applyFill="1" applyBorder="1" applyAlignment="1">
      <alignment horizontal="center"/>
    </xf>
    <xf numFmtId="0" fontId="63" fillId="13" borderId="4" xfId="0" applyFont="1" applyFill="1" applyBorder="1" applyAlignment="1">
      <alignment horizontal="left" vertical="center" wrapText="1"/>
    </xf>
    <xf numFmtId="0" fontId="63" fillId="13" borderId="5" xfId="0" applyFont="1" applyFill="1" applyBorder="1" applyAlignment="1">
      <alignment horizontal="left" vertical="center" wrapText="1"/>
    </xf>
    <xf numFmtId="0" fontId="63" fillId="13" borderId="6" xfId="0" applyFont="1" applyFill="1" applyBorder="1" applyAlignment="1">
      <alignment horizontal="left" vertical="center" wrapText="1"/>
    </xf>
    <xf numFmtId="0" fontId="63" fillId="13" borderId="10" xfId="0" applyFont="1" applyFill="1" applyBorder="1" applyAlignment="1">
      <alignment horizontal="left" vertical="center" wrapText="1"/>
    </xf>
    <xf numFmtId="0" fontId="63" fillId="13" borderId="0" xfId="0" applyFont="1" applyFill="1" applyAlignment="1">
      <alignment horizontal="left" vertical="center" wrapText="1"/>
    </xf>
    <xf numFmtId="0" fontId="63" fillId="13" borderId="11" xfId="0" applyFont="1" applyFill="1" applyBorder="1" applyAlignment="1">
      <alignment horizontal="left" vertical="center" wrapText="1"/>
    </xf>
    <xf numFmtId="0" fontId="63" fillId="13" borderId="12" xfId="0" applyFont="1" applyFill="1" applyBorder="1" applyAlignment="1">
      <alignment horizontal="left" vertical="center" wrapText="1"/>
    </xf>
    <xf numFmtId="0" fontId="63" fillId="13" borderId="13" xfId="0" applyFont="1" applyFill="1" applyBorder="1" applyAlignment="1">
      <alignment horizontal="left" vertical="center" wrapText="1"/>
    </xf>
    <xf numFmtId="0" fontId="63" fillId="13" borderId="14" xfId="0" applyFont="1" applyFill="1" applyBorder="1" applyAlignment="1">
      <alignment horizontal="left" vertical="center" wrapText="1"/>
    </xf>
    <xf numFmtId="9" fontId="1" fillId="0" borderId="20" xfId="0" applyNumberFormat="1" applyFont="1" applyBorder="1" applyAlignment="1">
      <alignment horizontal="left" vertical="center"/>
    </xf>
    <xf numFmtId="9" fontId="1" fillId="0" borderId="11" xfId="0" applyNumberFormat="1" applyFont="1" applyBorder="1" applyAlignment="1">
      <alignment horizontal="left" vertical="center"/>
    </xf>
    <xf numFmtId="0" fontId="1" fillId="0" borderId="10" xfId="0" applyFont="1" applyBorder="1" applyAlignment="1">
      <alignment horizontal="left" vertical="center" wrapText="1"/>
    </xf>
    <xf numFmtId="0" fontId="1" fillId="0" borderId="0" xfId="0" applyFont="1" applyAlignment="1">
      <alignment horizontal="left" vertical="center" wrapText="1"/>
    </xf>
    <xf numFmtId="0" fontId="1" fillId="0" borderId="21" xfId="0" applyFont="1" applyBorder="1" applyAlignment="1">
      <alignment horizontal="left" vertical="center" wrapText="1"/>
    </xf>
    <xf numFmtId="164" fontId="13" fillId="0" borderId="27" xfId="0" applyNumberFormat="1" applyFont="1" applyBorder="1" applyAlignment="1">
      <alignment horizontal="center" vertical="center"/>
    </xf>
    <xf numFmtId="164" fontId="13" fillId="0" borderId="29" xfId="0" applyNumberFormat="1" applyFont="1" applyBorder="1" applyAlignment="1">
      <alignment horizontal="center" vertical="center"/>
    </xf>
    <xf numFmtId="0" fontId="1" fillId="0" borderId="34" xfId="0" applyFont="1" applyBorder="1" applyAlignment="1">
      <alignment horizontal="left" vertical="center" wrapText="1"/>
    </xf>
    <xf numFmtId="0" fontId="1" fillId="0" borderId="28" xfId="0" applyFont="1" applyBorder="1" applyAlignment="1">
      <alignment horizontal="left" vertical="center" wrapText="1"/>
    </xf>
    <xf numFmtId="0" fontId="1" fillId="0" borderId="30" xfId="0" applyFont="1" applyBorder="1" applyAlignment="1">
      <alignment horizontal="left" vertical="center" wrapText="1"/>
    </xf>
    <xf numFmtId="9" fontId="1" fillId="0" borderId="0" xfId="0" applyNumberFormat="1" applyFont="1" applyAlignment="1">
      <alignment horizontal="left" vertical="center"/>
    </xf>
    <xf numFmtId="0" fontId="1" fillId="0" borderId="20" xfId="0" applyFont="1" applyBorder="1" applyAlignment="1">
      <alignment horizontal="left" vertical="center"/>
    </xf>
    <xf numFmtId="0" fontId="1" fillId="0" borderId="0" xfId="0" applyFont="1" applyAlignment="1">
      <alignment horizontal="left" vertical="center"/>
    </xf>
    <xf numFmtId="0" fontId="1" fillId="0" borderId="39" xfId="0" applyFont="1" applyBorder="1" applyAlignment="1">
      <alignment horizontal="left" vertical="center"/>
    </xf>
    <xf numFmtId="0" fontId="32" fillId="12" borderId="22" xfId="0" applyFont="1" applyFill="1" applyBorder="1" applyAlignment="1">
      <alignment horizontal="center" vertical="center"/>
    </xf>
    <xf numFmtId="0" fontId="32" fillId="12" borderId="23" xfId="0" applyFont="1" applyFill="1" applyBorder="1" applyAlignment="1">
      <alignment horizontal="center" vertical="center"/>
    </xf>
    <xf numFmtId="0" fontId="33" fillId="12" borderId="25" xfId="1" applyFont="1" applyFill="1" applyBorder="1" applyAlignment="1">
      <alignment horizontal="center" vertical="center"/>
    </xf>
    <xf numFmtId="0" fontId="33" fillId="12" borderId="23" xfId="1" applyFont="1" applyFill="1" applyBorder="1" applyAlignment="1">
      <alignment horizontal="center" vertical="center"/>
    </xf>
    <xf numFmtId="0" fontId="33" fillId="12" borderId="26" xfId="1" applyFont="1" applyFill="1" applyBorder="1" applyAlignment="1">
      <alignment horizontal="center" vertical="center"/>
    </xf>
    <xf numFmtId="0" fontId="13" fillId="13" borderId="31" xfId="0" applyFont="1" applyFill="1" applyBorder="1" applyAlignment="1">
      <alignment horizontal="center"/>
    </xf>
    <xf numFmtId="0" fontId="13" fillId="13" borderId="17" xfId="0" applyFont="1" applyFill="1" applyBorder="1" applyAlignment="1">
      <alignment horizontal="center"/>
    </xf>
    <xf numFmtId="0" fontId="1" fillId="0" borderId="32" xfId="0" applyFont="1" applyBorder="1" applyAlignment="1">
      <alignment horizontal="left" vertical="center"/>
    </xf>
    <xf numFmtId="0" fontId="1" fillId="0" borderId="6" xfId="0" applyFont="1" applyBorder="1" applyAlignment="1">
      <alignment horizontal="left" vertical="center"/>
    </xf>
    <xf numFmtId="0" fontId="1" fillId="0" borderId="11" xfId="0" applyFont="1" applyBorder="1" applyAlignment="1">
      <alignment horizontal="left" vertical="center"/>
    </xf>
    <xf numFmtId="0" fontId="13" fillId="13" borderId="70" xfId="0" applyFont="1" applyFill="1" applyBorder="1" applyAlignment="1">
      <alignment horizontal="center" vertical="center"/>
    </xf>
    <xf numFmtId="0" fontId="13" fillId="13" borderId="71" xfId="0" applyFont="1" applyFill="1" applyBorder="1" applyAlignment="1">
      <alignment horizontal="center" vertical="center"/>
    </xf>
    <xf numFmtId="164" fontId="1" fillId="0" borderId="20" xfId="0" applyNumberFormat="1" applyFont="1" applyBorder="1" applyAlignment="1">
      <alignment horizontal="left" vertical="center"/>
    </xf>
    <xf numFmtId="164" fontId="1" fillId="0" borderId="11" xfId="0" applyNumberFormat="1" applyFont="1" applyBorder="1" applyAlignment="1">
      <alignment horizontal="left" vertical="center"/>
    </xf>
    <xf numFmtId="164" fontId="1" fillId="0" borderId="27" xfId="0" applyNumberFormat="1" applyFont="1" applyBorder="1" applyAlignment="1">
      <alignment horizontal="left" vertical="center"/>
    </xf>
    <xf numFmtId="164" fontId="1" fillId="0" borderId="29" xfId="0" applyNumberFormat="1" applyFont="1" applyBorder="1" applyAlignment="1">
      <alignment horizontal="left" vertical="center"/>
    </xf>
    <xf numFmtId="9" fontId="1" fillId="0" borderId="39" xfId="0" applyNumberFormat="1" applyFont="1" applyBorder="1" applyAlignment="1">
      <alignment horizontal="left" vertical="center"/>
    </xf>
    <xf numFmtId="0" fontId="13" fillId="13" borderId="31" xfId="0" applyFont="1" applyFill="1" applyBorder="1" applyAlignment="1">
      <alignment horizontal="center" vertical="center"/>
    </xf>
    <xf numFmtId="0" fontId="13" fillId="13" borderId="17" xfId="0" applyFont="1" applyFill="1" applyBorder="1" applyAlignment="1">
      <alignment horizontal="center" vertical="center"/>
    </xf>
    <xf numFmtId="0" fontId="1" fillId="0" borderId="44" xfId="0" applyFont="1" applyBorder="1" applyAlignment="1">
      <alignment horizontal="left" vertical="center"/>
    </xf>
    <xf numFmtId="0" fontId="1" fillId="0" borderId="45" xfId="0" applyFont="1" applyBorder="1" applyAlignment="1">
      <alignment horizontal="left" vertical="center"/>
    </xf>
    <xf numFmtId="0" fontId="3" fillId="0" borderId="12" xfId="1" applyFont="1" applyBorder="1" applyAlignment="1">
      <alignment horizontal="left"/>
    </xf>
    <xf numFmtId="0" fontId="3" fillId="0" borderId="13" xfId="1" applyFont="1" applyBorder="1" applyAlignment="1">
      <alignment horizontal="left"/>
    </xf>
    <xf numFmtId="0" fontId="3" fillId="0" borderId="47" xfId="1" applyFont="1" applyBorder="1" applyAlignment="1">
      <alignment horizontal="left"/>
    </xf>
    <xf numFmtId="0" fontId="32" fillId="12" borderId="24" xfId="0" applyFont="1" applyFill="1" applyBorder="1" applyAlignment="1">
      <alignment horizontal="center" vertical="center"/>
    </xf>
    <xf numFmtId="0" fontId="13" fillId="13" borderId="20" xfId="0" applyFont="1" applyFill="1" applyBorder="1" applyAlignment="1">
      <alignment horizontal="center" vertical="center"/>
    </xf>
    <xf numFmtId="0" fontId="13" fillId="13" borderId="11" xfId="0" applyFont="1" applyFill="1" applyBorder="1" applyAlignment="1">
      <alignment horizontal="center" vertical="center"/>
    </xf>
    <xf numFmtId="0" fontId="32" fillId="12" borderId="22" xfId="0" applyFont="1" applyFill="1" applyBorder="1" applyAlignment="1">
      <alignment horizontal="center"/>
    </xf>
    <xf numFmtId="0" fontId="32" fillId="12" borderId="23" xfId="0" applyFont="1" applyFill="1" applyBorder="1" applyAlignment="1">
      <alignment horizontal="center"/>
    </xf>
    <xf numFmtId="0" fontId="3" fillId="0" borderId="10" xfId="1" applyFont="1" applyBorder="1" applyAlignment="1">
      <alignment horizontal="left"/>
    </xf>
    <xf numFmtId="0" fontId="3" fillId="0" borderId="0" xfId="1" applyFont="1" applyAlignment="1">
      <alignment horizontal="left"/>
    </xf>
    <xf numFmtId="0" fontId="3" fillId="0" borderId="21" xfId="1" applyFont="1" applyBorder="1" applyAlignment="1">
      <alignment horizontal="left"/>
    </xf>
    <xf numFmtId="0" fontId="33" fillId="12" borderId="25" xfId="1" applyFont="1" applyFill="1" applyBorder="1" applyAlignment="1">
      <alignment horizontal="center"/>
    </xf>
    <xf numFmtId="0" fontId="33" fillId="12" borderId="23" xfId="1" applyFont="1" applyFill="1" applyBorder="1" applyAlignment="1">
      <alignment horizontal="center"/>
    </xf>
    <xf numFmtId="0" fontId="33" fillId="12" borderId="26" xfId="1" applyFont="1" applyFill="1" applyBorder="1" applyAlignment="1">
      <alignment horizontal="center"/>
    </xf>
    <xf numFmtId="0" fontId="3" fillId="0" borderId="33" xfId="1" applyFont="1" applyBorder="1" applyAlignment="1">
      <alignment horizontal="left"/>
    </xf>
    <xf numFmtId="0" fontId="3" fillId="0" borderId="18" xfId="1" applyFont="1" applyBorder="1" applyAlignment="1">
      <alignment horizontal="left"/>
    </xf>
    <xf numFmtId="0" fontId="3" fillId="0" borderId="19" xfId="1" applyFont="1" applyBorder="1" applyAlignment="1">
      <alignment horizontal="left"/>
    </xf>
    <xf numFmtId="0" fontId="1" fillId="2" borderId="0" xfId="0" applyFont="1" applyFill="1" applyAlignment="1">
      <alignment horizontal="center"/>
    </xf>
    <xf numFmtId="0" fontId="1" fillId="2" borderId="21" xfId="0" applyFont="1" applyFill="1" applyBorder="1" applyAlignment="1">
      <alignment horizontal="center"/>
    </xf>
    <xf numFmtId="0" fontId="3" fillId="0" borderId="34" xfId="1" applyFont="1" applyBorder="1" applyAlignment="1">
      <alignment horizontal="left"/>
    </xf>
    <xf numFmtId="0" fontId="3" fillId="0" borderId="28" xfId="1" applyFont="1" applyBorder="1" applyAlignment="1">
      <alignment horizontal="left"/>
    </xf>
    <xf numFmtId="0" fontId="3" fillId="0" borderId="30" xfId="1" applyFont="1" applyBorder="1" applyAlignment="1">
      <alignment horizontal="left"/>
    </xf>
    <xf numFmtId="167" fontId="40" fillId="12" borderId="7" xfId="0" applyNumberFormat="1" applyFont="1" applyFill="1" applyBorder="1" applyAlignment="1">
      <alignment horizontal="center" vertical="center" wrapText="1"/>
    </xf>
    <xf numFmtId="167" fontId="40" fillId="12" borderId="8" xfId="0" applyNumberFormat="1" applyFont="1" applyFill="1" applyBorder="1" applyAlignment="1">
      <alignment horizontal="center" vertical="center" wrapText="1"/>
    </xf>
    <xf numFmtId="167" fontId="40" fillId="12" borderId="9" xfId="0" applyNumberFormat="1" applyFont="1" applyFill="1" applyBorder="1" applyAlignment="1">
      <alignment horizontal="center" vertical="center" wrapText="1"/>
    </xf>
    <xf numFmtId="167" fontId="59" fillId="0" borderId="1" xfId="0" applyNumberFormat="1" applyFont="1" applyBorder="1" applyAlignment="1">
      <alignment horizontal="center"/>
    </xf>
    <xf numFmtId="165" fontId="60" fillId="0" borderId="1" xfId="0" applyNumberFormat="1" applyFont="1" applyBorder="1" applyAlignment="1" applyProtection="1">
      <alignment horizontal="center"/>
      <protection locked="0"/>
    </xf>
    <xf numFmtId="0" fontId="3" fillId="0" borderId="34" xfId="1" applyFont="1" applyBorder="1" applyAlignment="1">
      <alignment horizontal="center"/>
    </xf>
    <xf numFmtId="0" fontId="3" fillId="0" borderId="28" xfId="1" applyFont="1" applyBorder="1" applyAlignment="1">
      <alignment horizontal="center"/>
    </xf>
    <xf numFmtId="0" fontId="3" fillId="0" borderId="30" xfId="1" applyFont="1" applyBorder="1" applyAlignment="1">
      <alignment horizontal="center"/>
    </xf>
    <xf numFmtId="0" fontId="32" fillId="12" borderId="24" xfId="0" applyFont="1" applyFill="1" applyBorder="1" applyAlignment="1">
      <alignment horizontal="center"/>
    </xf>
    <xf numFmtId="0" fontId="60" fillId="0" borderId="12" xfId="0" applyFont="1" applyBorder="1" applyAlignment="1" applyProtection="1">
      <alignment horizontal="left"/>
      <protection locked="0"/>
    </xf>
    <xf numFmtId="0" fontId="60" fillId="0" borderId="14" xfId="0" applyFont="1" applyBorder="1" applyAlignment="1" applyProtection="1">
      <alignment horizontal="left"/>
      <protection locked="0"/>
    </xf>
    <xf numFmtId="0" fontId="1" fillId="0" borderId="41" xfId="0" applyFont="1" applyBorder="1" applyAlignment="1">
      <alignment horizontal="left" vertical="center"/>
    </xf>
    <xf numFmtId="164" fontId="1" fillId="0" borderId="39" xfId="0" applyNumberFormat="1" applyFont="1" applyBorder="1" applyAlignment="1">
      <alignment horizontal="left" vertical="center"/>
    </xf>
    <xf numFmtId="0" fontId="1" fillId="0" borderId="27" xfId="0" applyFont="1" applyBorder="1" applyAlignment="1">
      <alignment horizontal="left" vertical="center"/>
    </xf>
    <xf numFmtId="0" fontId="1" fillId="0" borderId="29" xfId="0" applyFont="1" applyBorder="1" applyAlignment="1">
      <alignment horizontal="left" vertical="center"/>
    </xf>
    <xf numFmtId="0" fontId="17" fillId="0" borderId="34" xfId="0" applyFont="1" applyBorder="1" applyAlignment="1">
      <alignment horizontal="left" vertical="center" wrapText="1"/>
    </xf>
    <xf numFmtId="0" fontId="17" fillId="0" borderId="28" xfId="0" applyFont="1" applyBorder="1" applyAlignment="1">
      <alignment horizontal="left" vertical="center" wrapText="1"/>
    </xf>
    <xf numFmtId="0" fontId="17" fillId="0" borderId="30" xfId="0" applyFont="1" applyBorder="1" applyAlignment="1">
      <alignment horizontal="left" vertical="center" wrapText="1"/>
    </xf>
    <xf numFmtId="0" fontId="17" fillId="0" borderId="10" xfId="0" applyFont="1" applyBorder="1" applyAlignment="1">
      <alignment horizontal="left" vertical="center" wrapText="1"/>
    </xf>
    <xf numFmtId="0" fontId="17" fillId="0" borderId="0" xfId="0" applyFont="1" applyAlignment="1">
      <alignment horizontal="left" vertical="center" wrapText="1"/>
    </xf>
    <xf numFmtId="0" fontId="17" fillId="0" borderId="21" xfId="0" applyFont="1" applyBorder="1" applyAlignment="1">
      <alignment horizontal="left" vertical="center" wrapText="1"/>
    </xf>
    <xf numFmtId="0" fontId="1" fillId="0" borderId="34" xfId="0" applyFont="1" applyBorder="1" applyAlignment="1">
      <alignment horizontal="left" wrapText="1"/>
    </xf>
    <xf numFmtId="0" fontId="1" fillId="0" borderId="28" xfId="0" applyFont="1" applyBorder="1" applyAlignment="1">
      <alignment horizontal="left" wrapText="1"/>
    </xf>
    <xf numFmtId="0" fontId="1" fillId="0" borderId="30" xfId="0" applyFont="1" applyBorder="1" applyAlignment="1">
      <alignment horizontal="left" wrapText="1"/>
    </xf>
    <xf numFmtId="0" fontId="63" fillId="13" borderId="1" xfId="0" applyFont="1" applyFill="1" applyBorder="1" applyAlignment="1">
      <alignment horizontal="left" vertical="center" wrapText="1"/>
    </xf>
    <xf numFmtId="0" fontId="3" fillId="0" borderId="10" xfId="1" applyFont="1" applyBorder="1" applyAlignment="1">
      <alignment horizontal="left" wrapText="1"/>
    </xf>
    <xf numFmtId="0" fontId="3" fillId="0" borderId="0" xfId="1" applyFont="1" applyAlignment="1">
      <alignment horizontal="left" wrapText="1"/>
    </xf>
    <xf numFmtId="0" fontId="3" fillId="0" borderId="21" xfId="1" applyFont="1" applyBorder="1" applyAlignment="1">
      <alignment horizontal="left" wrapText="1"/>
    </xf>
    <xf numFmtId="0" fontId="1" fillId="0" borderId="0" xfId="0" applyFont="1" applyAlignment="1">
      <alignment horizontal="left"/>
    </xf>
    <xf numFmtId="0" fontId="1" fillId="0" borderId="21" xfId="0" applyFont="1" applyBorder="1" applyAlignment="1">
      <alignment horizontal="left"/>
    </xf>
    <xf numFmtId="0" fontId="1" fillId="0" borderId="10" xfId="0" applyFont="1" applyBorder="1" applyAlignment="1">
      <alignment horizontal="left"/>
    </xf>
    <xf numFmtId="0" fontId="1" fillId="0" borderId="33" xfId="0" applyFont="1" applyBorder="1" applyAlignment="1">
      <alignment horizontal="left"/>
    </xf>
    <xf numFmtId="0" fontId="1" fillId="0" borderId="18" xfId="0" applyFont="1" applyBorder="1" applyAlignment="1">
      <alignment horizontal="left"/>
    </xf>
    <xf numFmtId="0" fontId="1" fillId="0" borderId="19" xfId="0" applyFont="1" applyBorder="1" applyAlignment="1">
      <alignment horizontal="left"/>
    </xf>
    <xf numFmtId="0" fontId="70" fillId="12" borderId="4" xfId="0" applyFont="1" applyFill="1" applyBorder="1" applyAlignment="1">
      <alignment horizontal="center" vertical="center"/>
    </xf>
    <xf numFmtId="0" fontId="70" fillId="12" borderId="5" xfId="0" applyFont="1" applyFill="1" applyBorder="1" applyAlignment="1">
      <alignment horizontal="center" vertical="center"/>
    </xf>
    <xf numFmtId="0" fontId="70" fillId="12" borderId="6" xfId="0" applyFont="1" applyFill="1" applyBorder="1" applyAlignment="1">
      <alignment horizontal="center" vertical="center"/>
    </xf>
    <xf numFmtId="0" fontId="70" fillId="12" borderId="10" xfId="0" applyFont="1" applyFill="1" applyBorder="1" applyAlignment="1">
      <alignment horizontal="center" vertical="center"/>
    </xf>
    <xf numFmtId="0" fontId="70" fillId="12" borderId="0" xfId="0" applyFont="1" applyFill="1" applyAlignment="1">
      <alignment horizontal="center" vertical="center"/>
    </xf>
    <xf numFmtId="0" fontId="70" fillId="12" borderId="11" xfId="0" applyFont="1" applyFill="1" applyBorder="1" applyAlignment="1">
      <alignment horizontal="center" vertical="center"/>
    </xf>
    <xf numFmtId="0" fontId="70" fillId="12" borderId="12" xfId="0" applyFont="1" applyFill="1" applyBorder="1" applyAlignment="1">
      <alignment horizontal="center" vertical="center"/>
    </xf>
    <xf numFmtId="0" fontId="70" fillId="12" borderId="13" xfId="0" applyFont="1" applyFill="1" applyBorder="1" applyAlignment="1">
      <alignment horizontal="center" vertical="center"/>
    </xf>
    <xf numFmtId="0" fontId="70" fillId="12" borderId="14" xfId="0" applyFont="1" applyFill="1" applyBorder="1" applyAlignment="1">
      <alignment horizontal="center" vertical="center"/>
    </xf>
    <xf numFmtId="0" fontId="20" fillId="0" borderId="0" xfId="0" applyFont="1" applyAlignment="1">
      <alignment horizontal="left"/>
    </xf>
    <xf numFmtId="0" fontId="19" fillId="14" borderId="7" xfId="0" applyFont="1" applyFill="1" applyBorder="1" applyAlignment="1">
      <alignment horizontal="center" vertical="center"/>
    </xf>
    <xf numFmtId="0" fontId="19" fillId="14" borderId="9" xfId="0" applyFont="1" applyFill="1" applyBorder="1" applyAlignment="1">
      <alignment horizontal="center" vertical="center"/>
    </xf>
    <xf numFmtId="0" fontId="20" fillId="11" borderId="1" xfId="0" applyFont="1" applyFill="1" applyBorder="1" applyAlignment="1">
      <alignment horizontal="center"/>
    </xf>
    <xf numFmtId="0" fontId="34" fillId="0" borderId="4" xfId="0" applyFont="1" applyBorder="1" applyAlignment="1" applyProtection="1">
      <alignment horizontal="left"/>
      <protection locked="0"/>
    </xf>
    <xf numFmtId="0" fontId="34" fillId="0" borderId="5" xfId="0" applyFont="1" applyBorder="1" applyAlignment="1" applyProtection="1">
      <alignment horizontal="left"/>
      <protection locked="0"/>
    </xf>
    <xf numFmtId="0" fontId="34" fillId="0" borderId="6" xfId="0" applyFont="1" applyBorder="1" applyAlignment="1" applyProtection="1">
      <alignment horizontal="left"/>
      <protection locked="0"/>
    </xf>
    <xf numFmtId="0" fontId="34" fillId="0" borderId="10" xfId="0" applyFont="1" applyBorder="1" applyAlignment="1" applyProtection="1">
      <alignment horizontal="left"/>
      <protection locked="0"/>
    </xf>
    <xf numFmtId="0" fontId="34" fillId="0" borderId="0" xfId="0" applyFont="1" applyAlignment="1" applyProtection="1">
      <alignment horizontal="left"/>
      <protection locked="0"/>
    </xf>
    <xf numFmtId="0" fontId="34" fillId="0" borderId="11" xfId="0" applyFont="1" applyBorder="1" applyAlignment="1" applyProtection="1">
      <alignment horizontal="left"/>
      <protection locked="0"/>
    </xf>
    <xf numFmtId="0" fontId="34" fillId="0" borderId="12" xfId="0" applyFont="1" applyBorder="1" applyAlignment="1" applyProtection="1">
      <alignment horizontal="left"/>
      <protection locked="0"/>
    </xf>
    <xf numFmtId="0" fontId="34" fillId="0" borderId="13" xfId="0" applyFont="1" applyBorder="1" applyAlignment="1" applyProtection="1">
      <alignment horizontal="left"/>
      <protection locked="0"/>
    </xf>
    <xf numFmtId="0" fontId="34" fillId="0" borderId="14" xfId="0" applyFont="1" applyBorder="1" applyAlignment="1" applyProtection="1">
      <alignment horizontal="left"/>
      <protection locked="0"/>
    </xf>
    <xf numFmtId="0" fontId="20" fillId="11" borderId="7" xfId="0" applyFont="1" applyFill="1" applyBorder="1" applyAlignment="1">
      <alignment horizontal="center" vertical="center" wrapText="1"/>
    </xf>
    <xf numFmtId="0" fontId="20" fillId="11" borderId="8" xfId="0" applyFont="1" applyFill="1" applyBorder="1" applyAlignment="1">
      <alignment horizontal="center" vertical="center" wrapText="1"/>
    </xf>
    <xf numFmtId="0" fontId="20" fillId="11" borderId="9" xfId="0" applyFont="1" applyFill="1" applyBorder="1" applyAlignment="1">
      <alignment horizontal="center" vertical="center" wrapText="1"/>
    </xf>
    <xf numFmtId="0" fontId="20" fillId="11" borderId="2" xfId="0" applyFont="1" applyFill="1" applyBorder="1" applyAlignment="1">
      <alignment horizontal="center"/>
    </xf>
    <xf numFmtId="0" fontId="51" fillId="0" borderId="0" xfId="0" applyFont="1" applyAlignment="1">
      <alignment horizontal="left"/>
    </xf>
    <xf numFmtId="0" fontId="20" fillId="0" borderId="4" xfId="0" applyFont="1" applyBorder="1" applyAlignment="1" applyProtection="1">
      <alignment horizontal="left" vertical="top"/>
      <protection locked="0"/>
    </xf>
    <xf numFmtId="0" fontId="20" fillId="0" borderId="5" xfId="0" applyFont="1" applyBorder="1" applyAlignment="1" applyProtection="1">
      <alignment horizontal="left" vertical="top"/>
      <protection locked="0"/>
    </xf>
    <xf numFmtId="0" fontId="20" fillId="0" borderId="6" xfId="0" applyFont="1" applyBorder="1" applyAlignment="1" applyProtection="1">
      <alignment horizontal="left" vertical="top"/>
      <protection locked="0"/>
    </xf>
    <xf numFmtId="0" fontId="20" fillId="0" borderId="10" xfId="0" applyFont="1" applyBorder="1" applyAlignment="1" applyProtection="1">
      <alignment horizontal="left" vertical="top"/>
      <protection locked="0"/>
    </xf>
    <xf numFmtId="0" fontId="20" fillId="0" borderId="0" xfId="0" applyFont="1" applyAlignment="1" applyProtection="1">
      <alignment horizontal="left" vertical="top"/>
      <protection locked="0"/>
    </xf>
    <xf numFmtId="0" fontId="20" fillId="0" borderId="11" xfId="0" applyFont="1" applyBorder="1" applyAlignment="1" applyProtection="1">
      <alignment horizontal="left" vertical="top"/>
      <protection locked="0"/>
    </xf>
    <xf numFmtId="0" fontId="20" fillId="0" borderId="12" xfId="0" applyFont="1" applyBorder="1" applyAlignment="1" applyProtection="1">
      <alignment horizontal="left" vertical="top"/>
      <protection locked="0"/>
    </xf>
    <xf numFmtId="0" fontId="20" fillId="0" borderId="13" xfId="0" applyFont="1" applyBorder="1" applyAlignment="1" applyProtection="1">
      <alignment horizontal="left" vertical="top"/>
      <protection locked="0"/>
    </xf>
    <xf numFmtId="0" fontId="20" fillId="0" borderId="14" xfId="0" applyFont="1" applyBorder="1" applyAlignment="1" applyProtection="1">
      <alignment horizontal="left" vertical="top"/>
      <protection locked="0"/>
    </xf>
    <xf numFmtId="0" fontId="19" fillId="0" borderId="64" xfId="0" applyFont="1" applyBorder="1" applyAlignment="1">
      <alignment horizontal="center"/>
    </xf>
    <xf numFmtId="0" fontId="19" fillId="0" borderId="65" xfId="0" applyFont="1" applyBorder="1" applyAlignment="1">
      <alignment horizontal="center"/>
    </xf>
    <xf numFmtId="0" fontId="19" fillId="0" borderId="7" xfId="0" applyFont="1" applyBorder="1" applyAlignment="1">
      <alignment horizontal="center" vertical="center"/>
    </xf>
    <xf numFmtId="0" fontId="19" fillId="0" borderId="9" xfId="0" applyFont="1" applyBorder="1" applyAlignment="1">
      <alignment horizontal="center" vertical="center"/>
    </xf>
    <xf numFmtId="0" fontId="19" fillId="0" borderId="4" xfId="0" applyFont="1" applyBorder="1" applyAlignment="1">
      <alignment horizontal="center"/>
    </xf>
    <xf numFmtId="0" fontId="19" fillId="0" borderId="6" xfId="0" applyFont="1" applyBorder="1" applyAlignment="1">
      <alignment horizontal="center"/>
    </xf>
    <xf numFmtId="167" fontId="47" fillId="6" borderId="7" xfId="0" applyNumberFormat="1" applyFont="1" applyFill="1" applyBorder="1" applyAlignment="1">
      <alignment horizontal="center" vertical="center"/>
    </xf>
    <xf numFmtId="167" fontId="47" fillId="6" borderId="8" xfId="0" applyNumberFormat="1" applyFont="1" applyFill="1" applyBorder="1" applyAlignment="1">
      <alignment horizontal="center" vertical="center"/>
    </xf>
    <xf numFmtId="167" fontId="47" fillId="6" borderId="9" xfId="0" applyNumberFormat="1" applyFont="1" applyFill="1" applyBorder="1" applyAlignment="1">
      <alignment horizontal="center" vertical="center"/>
    </xf>
    <xf numFmtId="0" fontId="19" fillId="14" borderId="7" xfId="0" applyFont="1" applyFill="1" applyBorder="1" applyAlignment="1">
      <alignment horizontal="center" vertical="center" wrapText="1"/>
    </xf>
    <xf numFmtId="0" fontId="19" fillId="14" borderId="9" xfId="0" applyFont="1" applyFill="1" applyBorder="1" applyAlignment="1">
      <alignment horizontal="center" vertical="center" wrapText="1"/>
    </xf>
    <xf numFmtId="0" fontId="41" fillId="0" borderId="0" xfId="0" applyFont="1" applyAlignment="1">
      <alignment horizontal="left"/>
    </xf>
    <xf numFmtId="167" fontId="56" fillId="0" borderId="7" xfId="0" applyNumberFormat="1" applyFont="1" applyBorder="1" applyAlignment="1">
      <alignment horizontal="center"/>
    </xf>
    <xf numFmtId="167" fontId="56" fillId="0" borderId="8" xfId="0" applyNumberFormat="1" applyFont="1" applyBorder="1" applyAlignment="1">
      <alignment horizontal="center"/>
    </xf>
    <xf numFmtId="167" fontId="56" fillId="0" borderId="9" xfId="0" applyNumberFormat="1" applyFont="1" applyBorder="1" applyAlignment="1">
      <alignment horizontal="center"/>
    </xf>
    <xf numFmtId="0" fontId="27" fillId="0" borderId="8" xfId="0" applyFont="1" applyBorder="1" applyAlignment="1">
      <alignment horizontal="left" vertical="center"/>
    </xf>
    <xf numFmtId="0" fontId="20" fillId="11" borderId="7" xfId="0" applyFont="1" applyFill="1" applyBorder="1" applyAlignment="1">
      <alignment horizontal="center"/>
    </xf>
    <xf numFmtId="0" fontId="20" fillId="11" borderId="8" xfId="0" applyFont="1" applyFill="1" applyBorder="1" applyAlignment="1">
      <alignment horizontal="center"/>
    </xf>
    <xf numFmtId="0" fontId="20" fillId="11" borderId="9" xfId="0" applyFont="1" applyFill="1" applyBorder="1" applyAlignment="1">
      <alignment horizontal="center"/>
    </xf>
    <xf numFmtId="0" fontId="10" fillId="4" borderId="7" xfId="4" applyBorder="1" applyAlignment="1" applyProtection="1">
      <alignment horizontal="left"/>
      <protection locked="0"/>
    </xf>
    <xf numFmtId="0" fontId="10" fillId="4" borderId="9" xfId="4" applyBorder="1" applyAlignment="1" applyProtection="1">
      <alignment horizontal="left"/>
      <protection locked="0"/>
    </xf>
    <xf numFmtId="0" fontId="57" fillId="0" borderId="12" xfId="0" applyFont="1" applyBorder="1" applyAlignment="1">
      <alignment horizontal="left"/>
    </xf>
    <xf numFmtId="0" fontId="57" fillId="0" borderId="14" xfId="0" applyFont="1" applyBorder="1" applyAlignment="1">
      <alignment horizontal="left"/>
    </xf>
    <xf numFmtId="0" fontId="20" fillId="3" borderId="7" xfId="0" applyFont="1" applyFill="1" applyBorder="1" applyAlignment="1">
      <alignment horizontal="center" vertical="center"/>
    </xf>
    <xf numFmtId="0" fontId="20" fillId="3" borderId="8" xfId="0" applyFont="1" applyFill="1" applyBorder="1" applyAlignment="1">
      <alignment horizontal="center" vertical="center"/>
    </xf>
    <xf numFmtId="0" fontId="20" fillId="3" borderId="9" xfId="0" applyFont="1" applyFill="1" applyBorder="1" applyAlignment="1">
      <alignment horizontal="center" vertical="center"/>
    </xf>
    <xf numFmtId="0" fontId="30" fillId="0" borderId="4" xfId="0" applyFont="1" applyBorder="1" applyAlignment="1" applyProtection="1">
      <alignment horizontal="left"/>
      <protection locked="0"/>
    </xf>
    <xf numFmtId="0" fontId="30" fillId="0" borderId="5" xfId="0" applyFont="1" applyBorder="1" applyAlignment="1" applyProtection="1">
      <alignment horizontal="left"/>
      <protection locked="0"/>
    </xf>
    <xf numFmtId="0" fontId="30" fillId="0" borderId="6" xfId="0" applyFont="1" applyBorder="1" applyAlignment="1" applyProtection="1">
      <alignment horizontal="left"/>
      <protection locked="0"/>
    </xf>
    <xf numFmtId="0" fontId="30" fillId="0" borderId="10" xfId="0" applyFont="1" applyBorder="1" applyAlignment="1" applyProtection="1">
      <alignment horizontal="left"/>
      <protection locked="0"/>
    </xf>
    <xf numFmtId="0" fontId="30" fillId="0" borderId="0" xfId="0" applyFont="1" applyAlignment="1" applyProtection="1">
      <alignment horizontal="left"/>
      <protection locked="0"/>
    </xf>
    <xf numFmtId="0" fontId="30" fillId="0" borderId="11" xfId="0" applyFont="1" applyBorder="1" applyAlignment="1" applyProtection="1">
      <alignment horizontal="left"/>
      <protection locked="0"/>
    </xf>
    <xf numFmtId="0" fontId="30" fillId="0" borderId="12" xfId="0" applyFont="1" applyBorder="1" applyAlignment="1" applyProtection="1">
      <alignment horizontal="left"/>
      <protection locked="0"/>
    </xf>
    <xf numFmtId="0" fontId="30" fillId="0" borderId="13" xfId="0" applyFont="1" applyBorder="1" applyAlignment="1" applyProtection="1">
      <alignment horizontal="left"/>
      <protection locked="0"/>
    </xf>
    <xf numFmtId="0" fontId="30" fillId="0" borderId="14" xfId="0" applyFont="1" applyBorder="1" applyAlignment="1" applyProtection="1">
      <alignment horizontal="left"/>
      <protection locked="0"/>
    </xf>
    <xf numFmtId="0" fontId="20" fillId="3" borderId="4" xfId="0" applyFont="1" applyFill="1" applyBorder="1" applyAlignment="1">
      <alignment horizontal="center" vertical="center"/>
    </xf>
    <xf numFmtId="0" fontId="20" fillId="3" borderId="5"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1" xfId="0" applyFont="1" applyFill="1" applyBorder="1" applyAlignment="1">
      <alignment horizontal="center"/>
    </xf>
    <xf numFmtId="0" fontId="20" fillId="3" borderId="7" xfId="0" applyFont="1" applyFill="1" applyBorder="1" applyAlignment="1">
      <alignment horizontal="center"/>
    </xf>
    <xf numFmtId="0" fontId="30" fillId="0" borderId="0" xfId="0" applyFont="1" applyAlignment="1">
      <alignment horizontal="left"/>
    </xf>
    <xf numFmtId="0" fontId="30" fillId="0" borderId="11" xfId="0" applyFont="1" applyBorder="1" applyAlignment="1">
      <alignment horizontal="left"/>
    </xf>
    <xf numFmtId="0" fontId="66" fillId="0" borderId="5" xfId="0" applyFont="1" applyBorder="1" applyAlignment="1">
      <alignment horizontal="left" vertical="center" wrapText="1"/>
    </xf>
    <xf numFmtId="0" fontId="66" fillId="0" borderId="0" xfId="0" applyFont="1" applyAlignment="1">
      <alignment horizontal="left" vertical="center" wrapText="1"/>
    </xf>
    <xf numFmtId="0" fontId="66" fillId="0" borderId="13" xfId="0" applyFont="1" applyBorder="1" applyAlignment="1">
      <alignment horizontal="left" vertical="center" wrapText="1"/>
    </xf>
    <xf numFmtId="167" fontId="44" fillId="10" borderId="1" xfId="0" applyNumberFormat="1" applyFont="1" applyFill="1" applyBorder="1" applyAlignment="1">
      <alignment horizontal="center" vertical="center"/>
    </xf>
    <xf numFmtId="167" fontId="59" fillId="0" borderId="7" xfId="0" applyNumberFormat="1" applyFont="1" applyBorder="1" applyAlignment="1">
      <alignment horizontal="center"/>
    </xf>
    <xf numFmtId="167" fontId="59" fillId="0" borderId="8" xfId="0" applyNumberFormat="1" applyFont="1" applyBorder="1" applyAlignment="1">
      <alignment horizontal="center"/>
    </xf>
    <xf numFmtId="167" fontId="59" fillId="0" borderId="9" xfId="0" applyNumberFormat="1" applyFont="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6" xfId="0" applyFont="1" applyFill="1" applyBorder="1" applyAlignment="1">
      <alignment horizontal="center"/>
    </xf>
    <xf numFmtId="0" fontId="34" fillId="0" borderId="1" xfId="0" applyFont="1" applyBorder="1" applyAlignment="1">
      <alignment horizontal="left"/>
    </xf>
    <xf numFmtId="167" fontId="21" fillId="10" borderId="7" xfId="0" applyNumberFormat="1" applyFont="1" applyFill="1" applyBorder="1" applyAlignment="1">
      <alignment horizontal="center"/>
    </xf>
    <xf numFmtId="167" fontId="21" fillId="10" borderId="8" xfId="0" applyNumberFormat="1" applyFont="1" applyFill="1" applyBorder="1" applyAlignment="1">
      <alignment horizontal="center"/>
    </xf>
    <xf numFmtId="167" fontId="21" fillId="10" borderId="9" xfId="0" applyNumberFormat="1" applyFont="1" applyFill="1" applyBorder="1" applyAlignment="1">
      <alignment horizontal="center"/>
    </xf>
    <xf numFmtId="0" fontId="30" fillId="0" borderId="10" xfId="0" applyFont="1" applyBorder="1" applyAlignment="1">
      <alignment horizontal="left"/>
    </xf>
    <xf numFmtId="0" fontId="30" fillId="0" borderId="5" xfId="0" applyFont="1" applyBorder="1" applyAlignment="1">
      <alignment horizontal="left"/>
    </xf>
    <xf numFmtId="0" fontId="30" fillId="0" borderId="6" xfId="0" applyFont="1" applyBorder="1" applyAlignment="1">
      <alignment horizontal="left"/>
    </xf>
    <xf numFmtId="0" fontId="20" fillId="3" borderId="7" xfId="0" applyFont="1" applyFill="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30" fillId="0" borderId="13" xfId="0" applyFont="1" applyBorder="1" applyAlignment="1">
      <alignment horizontal="left"/>
    </xf>
    <xf numFmtId="0" fontId="30" fillId="0" borderId="14" xfId="0" applyFont="1" applyBorder="1" applyAlignment="1">
      <alignment horizontal="left"/>
    </xf>
    <xf numFmtId="0" fontId="19" fillId="2" borderId="60" xfId="0" applyFont="1" applyFill="1" applyBorder="1" applyAlignment="1">
      <alignment horizontal="center" vertical="center"/>
    </xf>
    <xf numFmtId="0" fontId="19" fillId="2" borderId="61" xfId="0" applyFont="1" applyFill="1" applyBorder="1" applyAlignment="1">
      <alignment horizontal="center" vertical="center"/>
    </xf>
    <xf numFmtId="0" fontId="19" fillId="2" borderId="4" xfId="0" applyFont="1" applyFill="1" applyBorder="1" applyAlignment="1">
      <alignment horizontal="center" vertical="center"/>
    </xf>
    <xf numFmtId="0" fontId="19" fillId="2" borderId="6" xfId="0" applyFont="1" applyFill="1" applyBorder="1" applyAlignment="1">
      <alignment horizontal="center" vertical="center"/>
    </xf>
    <xf numFmtId="0" fontId="11" fillId="0" borderId="10" xfId="0" applyFont="1" applyBorder="1" applyAlignment="1" applyProtection="1">
      <alignment horizontal="left"/>
      <protection locked="0"/>
    </xf>
    <xf numFmtId="0" fontId="11" fillId="0" borderId="0" xfId="0" applyFont="1" applyAlignment="1" applyProtection="1">
      <alignment horizontal="left"/>
      <protection locked="0"/>
    </xf>
    <xf numFmtId="0" fontId="11" fillId="0" borderId="11" xfId="0" applyFont="1" applyBorder="1" applyAlignment="1" applyProtection="1">
      <alignment horizontal="left"/>
      <protection locked="0"/>
    </xf>
    <xf numFmtId="0" fontId="11" fillId="0" borderId="12" xfId="0" applyFont="1" applyBorder="1" applyAlignment="1" applyProtection="1">
      <alignment horizontal="left"/>
      <protection locked="0"/>
    </xf>
    <xf numFmtId="0" fontId="11" fillId="0" borderId="13" xfId="0" applyFont="1" applyBorder="1" applyAlignment="1" applyProtection="1">
      <alignment horizontal="left"/>
      <protection locked="0"/>
    </xf>
    <xf numFmtId="0" fontId="11" fillId="0" borderId="14" xfId="0" applyFont="1" applyBorder="1" applyAlignment="1" applyProtection="1">
      <alignment horizontal="left"/>
      <protection locked="0"/>
    </xf>
    <xf numFmtId="0" fontId="45" fillId="0" borderId="0" xfId="7" applyAlignment="1" applyProtection="1">
      <alignment horizontal="left"/>
      <protection locked="0"/>
    </xf>
    <xf numFmtId="0" fontId="20" fillId="17" borderId="7" xfId="0" applyFont="1" applyFill="1" applyBorder="1" applyAlignment="1">
      <alignment horizontal="center" vertical="center"/>
    </xf>
    <xf numFmtId="0" fontId="20" fillId="17" borderId="8" xfId="0" applyFont="1" applyFill="1" applyBorder="1" applyAlignment="1">
      <alignment horizontal="center" vertical="center"/>
    </xf>
    <xf numFmtId="0" fontId="20" fillId="17" borderId="9" xfId="0" applyFont="1" applyFill="1" applyBorder="1" applyAlignment="1">
      <alignment horizontal="center" vertical="center"/>
    </xf>
    <xf numFmtId="0" fontId="20" fillId="0" borderId="10" xfId="0" applyFont="1" applyBorder="1" applyAlignment="1" applyProtection="1">
      <alignment horizontal="left" vertical="center"/>
      <protection locked="0"/>
    </xf>
    <xf numFmtId="0" fontId="20" fillId="0" borderId="0" xfId="0" applyFont="1" applyAlignment="1" applyProtection="1">
      <alignment horizontal="left" vertical="center"/>
      <protection locked="0"/>
    </xf>
    <xf numFmtId="0" fontId="20" fillId="0" borderId="11" xfId="0" applyFont="1" applyBorder="1" applyAlignment="1" applyProtection="1">
      <alignment horizontal="left" vertical="center"/>
      <protection locked="0"/>
    </xf>
    <xf numFmtId="167" fontId="44" fillId="8" borderId="7" xfId="0" applyNumberFormat="1" applyFont="1" applyFill="1" applyBorder="1" applyAlignment="1">
      <alignment horizontal="center" vertical="center"/>
    </xf>
    <xf numFmtId="167" fontId="44" fillId="8" borderId="8" xfId="0" applyNumberFormat="1" applyFont="1" applyFill="1" applyBorder="1" applyAlignment="1">
      <alignment horizontal="center" vertical="center"/>
    </xf>
    <xf numFmtId="167" fontId="44" fillId="8" borderId="9" xfId="0" applyNumberFormat="1" applyFont="1" applyFill="1" applyBorder="1" applyAlignment="1">
      <alignment horizontal="center" vertical="center"/>
    </xf>
    <xf numFmtId="167" fontId="59" fillId="0" borderId="12" xfId="0" applyNumberFormat="1" applyFont="1" applyBorder="1" applyAlignment="1">
      <alignment horizontal="center"/>
    </xf>
    <xf numFmtId="167" fontId="59" fillId="0" borderId="13" xfId="0" applyNumberFormat="1" applyFont="1" applyBorder="1" applyAlignment="1">
      <alignment horizontal="center"/>
    </xf>
    <xf numFmtId="167" fontId="59" fillId="0" borderId="14" xfId="0" applyNumberFormat="1" applyFont="1" applyBorder="1" applyAlignment="1">
      <alignment horizontal="center"/>
    </xf>
    <xf numFmtId="0" fontId="60" fillId="0" borderId="12" xfId="0" applyFont="1" applyBorder="1" applyAlignment="1">
      <alignment horizontal="left"/>
    </xf>
    <xf numFmtId="0" fontId="60" fillId="0" borderId="14" xfId="0" applyFont="1" applyBorder="1" applyAlignment="1">
      <alignment horizontal="left"/>
    </xf>
    <xf numFmtId="0" fontId="10" fillId="4" borderId="74" xfId="4" applyBorder="1" applyAlignment="1" applyProtection="1">
      <alignment horizontal="left"/>
      <protection locked="0"/>
    </xf>
    <xf numFmtId="0" fontId="10" fillId="4" borderId="75" xfId="4" applyBorder="1" applyAlignment="1" applyProtection="1">
      <alignment horizontal="left"/>
      <protection locked="0"/>
    </xf>
    <xf numFmtId="0" fontId="49" fillId="0" borderId="0" xfId="7" applyFont="1" applyAlignment="1" applyProtection="1">
      <alignment horizontal="left"/>
    </xf>
    <xf numFmtId="0" fontId="20" fillId="17" borderId="4" xfId="0" applyFont="1" applyFill="1" applyBorder="1" applyAlignment="1">
      <alignment horizontal="center"/>
    </xf>
    <xf numFmtId="0" fontId="20" fillId="17" borderId="5" xfId="0" applyFont="1" applyFill="1" applyBorder="1" applyAlignment="1">
      <alignment horizontal="center"/>
    </xf>
    <xf numFmtId="0" fontId="20" fillId="17" borderId="6" xfId="0" applyFont="1" applyFill="1" applyBorder="1" applyAlignment="1">
      <alignment horizontal="center"/>
    </xf>
    <xf numFmtId="0" fontId="20" fillId="20" borderId="4" xfId="0" applyFont="1" applyFill="1" applyBorder="1" applyAlignment="1">
      <alignment horizontal="left" vertical="top" wrapText="1"/>
    </xf>
    <xf numFmtId="0" fontId="20" fillId="20" borderId="5" xfId="0" applyFont="1" applyFill="1" applyBorder="1" applyAlignment="1">
      <alignment horizontal="left" vertical="top" wrapText="1"/>
    </xf>
    <xf numFmtId="0" fontId="20" fillId="20" borderId="6" xfId="0" applyFont="1" applyFill="1" applyBorder="1" applyAlignment="1">
      <alignment horizontal="left" vertical="top" wrapText="1"/>
    </xf>
    <xf numFmtId="0" fontId="20" fillId="20" borderId="10" xfId="0" applyFont="1" applyFill="1" applyBorder="1" applyAlignment="1">
      <alignment horizontal="left" vertical="top" wrapText="1"/>
    </xf>
    <xf numFmtId="0" fontId="20" fillId="20" borderId="0" xfId="0" applyFont="1" applyFill="1" applyAlignment="1">
      <alignment horizontal="left" vertical="top" wrapText="1"/>
    </xf>
    <xf numFmtId="0" fontId="20" fillId="20" borderId="11" xfId="0" applyFont="1" applyFill="1" applyBorder="1" applyAlignment="1">
      <alignment horizontal="left" vertical="top" wrapText="1"/>
    </xf>
    <xf numFmtId="0" fontId="20" fillId="20" borderId="12" xfId="0" applyFont="1" applyFill="1" applyBorder="1" applyAlignment="1">
      <alignment horizontal="left" vertical="top" wrapText="1"/>
    </xf>
    <xf numFmtId="0" fontId="20" fillId="20" borderId="13" xfId="0" applyFont="1" applyFill="1" applyBorder="1" applyAlignment="1">
      <alignment horizontal="left" vertical="top" wrapText="1"/>
    </xf>
    <xf numFmtId="0" fontId="20" fillId="20" borderId="14" xfId="0" applyFont="1" applyFill="1" applyBorder="1" applyAlignment="1">
      <alignment horizontal="left" vertical="top" wrapText="1"/>
    </xf>
    <xf numFmtId="0" fontId="20" fillId="17" borderId="7" xfId="0" applyFont="1" applyFill="1" applyBorder="1" applyAlignment="1">
      <alignment horizontal="center" vertical="center" wrapText="1"/>
    </xf>
    <xf numFmtId="0" fontId="20" fillId="17" borderId="8" xfId="0" applyFont="1" applyFill="1" applyBorder="1" applyAlignment="1">
      <alignment horizontal="center" vertical="center" wrapText="1"/>
    </xf>
    <xf numFmtId="0" fontId="20" fillId="17" borderId="9" xfId="0" applyFont="1" applyFill="1" applyBorder="1" applyAlignment="1">
      <alignment horizontal="center" vertical="center" wrapText="1"/>
    </xf>
    <xf numFmtId="0" fontId="20" fillId="17" borderId="1" xfId="0" applyFont="1" applyFill="1" applyBorder="1" applyAlignment="1">
      <alignment horizontal="center"/>
    </xf>
    <xf numFmtId="0" fontId="20" fillId="17" borderId="7" xfId="0" applyFont="1" applyFill="1" applyBorder="1" applyAlignment="1">
      <alignment horizontal="center"/>
    </xf>
    <xf numFmtId="0" fontId="20" fillId="19" borderId="7" xfId="0" applyFont="1" applyFill="1" applyBorder="1" applyAlignment="1">
      <alignment horizontal="center" vertical="center"/>
    </xf>
    <xf numFmtId="0" fontId="20" fillId="19" borderId="8" xfId="0" applyFont="1" applyFill="1" applyBorder="1" applyAlignment="1">
      <alignment horizontal="center" vertical="center"/>
    </xf>
    <xf numFmtId="0" fontId="20" fillId="19" borderId="9" xfId="0" applyFont="1" applyFill="1" applyBorder="1" applyAlignment="1">
      <alignment horizontal="center" vertical="center"/>
    </xf>
    <xf numFmtId="0" fontId="20" fillId="19" borderId="1" xfId="0" applyFont="1" applyFill="1" applyBorder="1" applyAlignment="1">
      <alignment horizontal="center"/>
    </xf>
    <xf numFmtId="0" fontId="20" fillId="19" borderId="7" xfId="0" applyFont="1" applyFill="1" applyBorder="1" applyAlignment="1">
      <alignment horizontal="center" vertical="center" wrapText="1"/>
    </xf>
    <xf numFmtId="0" fontId="20" fillId="19" borderId="8" xfId="0" applyFont="1" applyFill="1" applyBorder="1" applyAlignment="1">
      <alignment horizontal="center" vertical="center" wrapText="1"/>
    </xf>
    <xf numFmtId="0" fontId="20" fillId="19" borderId="9" xfId="0" applyFont="1" applyFill="1" applyBorder="1" applyAlignment="1">
      <alignment horizontal="center" vertical="center" wrapText="1"/>
    </xf>
    <xf numFmtId="0" fontId="20" fillId="19" borderId="4" xfId="0" applyFont="1" applyFill="1" applyBorder="1" applyAlignment="1">
      <alignment horizontal="center"/>
    </xf>
    <xf numFmtId="0" fontId="20" fillId="19" borderId="5" xfId="0" applyFont="1" applyFill="1" applyBorder="1" applyAlignment="1">
      <alignment horizontal="center"/>
    </xf>
    <xf numFmtId="0" fontId="20" fillId="19" borderId="6" xfId="0" applyFont="1" applyFill="1" applyBorder="1" applyAlignment="1">
      <alignment horizontal="center"/>
    </xf>
    <xf numFmtId="0" fontId="17" fillId="0" borderId="0" xfId="0" applyFont="1" applyAlignment="1">
      <alignment horizontal="center" vertic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19" borderId="9" xfId="0" applyFont="1" applyFill="1" applyBorder="1" applyAlignment="1">
      <alignment horizontal="center"/>
    </xf>
    <xf numFmtId="167" fontId="44" fillId="18" borderId="7" xfId="0" applyNumberFormat="1" applyFont="1" applyFill="1" applyBorder="1" applyAlignment="1">
      <alignment horizontal="center" vertical="center"/>
    </xf>
    <xf numFmtId="167" fontId="44" fillId="18" borderId="8" xfId="0" applyNumberFormat="1" applyFont="1" applyFill="1" applyBorder="1" applyAlignment="1">
      <alignment horizontal="center" vertical="center"/>
    </xf>
    <xf numFmtId="0" fontId="20" fillId="9" borderId="7" xfId="0" applyFont="1" applyFill="1" applyBorder="1" applyAlignment="1">
      <alignment horizontal="center"/>
    </xf>
    <xf numFmtId="0" fontId="20" fillId="9" borderId="8" xfId="0" applyFont="1" applyFill="1" applyBorder="1" applyAlignment="1">
      <alignment horizontal="center"/>
    </xf>
    <xf numFmtId="0" fontId="20" fillId="9" borderId="9" xfId="0" applyFont="1" applyFill="1" applyBorder="1" applyAlignment="1">
      <alignment horizontal="center"/>
    </xf>
  </cellXfs>
  <cellStyles count="8">
    <cellStyle name="Comma 2" xfId="3" xr:uid="{00000000-0005-0000-0000-000001000000}"/>
    <cellStyle name="Hyperlink" xfId="7" builtinId="8"/>
    <cellStyle name="Input" xfId="4" builtinId="20"/>
    <cellStyle name="Normal" xfId="0" builtinId="0"/>
    <cellStyle name="Normal 2" xfId="2" xr:uid="{00000000-0005-0000-0000-000004000000}"/>
    <cellStyle name="Normal_Contract Breakdown" xfId="1" xr:uid="{00000000-0005-0000-0000-000005000000}"/>
    <cellStyle name="Note" xfId="6" builtinId="10"/>
    <cellStyle name="Percent" xfId="5" builtinId="5"/>
  </cellStyles>
  <dxfs count="160">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right/>
        <top style="thin">
          <color auto="1"/>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right/>
        <top style="thin">
          <color auto="1"/>
        </top>
        <bottom/>
        <vertical/>
        <horizontal/>
      </border>
    </dxf>
    <dxf>
      <font>
        <color theme="0"/>
      </font>
      <fill>
        <patternFill>
          <bgColor theme="0"/>
        </patternFill>
      </fill>
      <border>
        <left/>
        <right/>
        <top/>
        <bottom/>
        <vertical/>
        <horizontal/>
      </border>
    </dxf>
    <dxf>
      <font>
        <b/>
        <i val="0"/>
      </font>
      <fill>
        <patternFill>
          <bgColor rgb="FFFF8989"/>
        </patternFill>
      </fill>
      <border>
        <left style="thin">
          <color auto="1"/>
        </left>
        <right style="thin">
          <color auto="1"/>
        </right>
        <top style="thin">
          <color auto="1"/>
        </top>
        <bottom style="thin">
          <color auto="1"/>
        </bottom>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border>
        <bottom style="thin">
          <color auto="1"/>
        </bottom>
        <vertical/>
        <horizontal/>
      </border>
    </dxf>
    <dxf>
      <border>
        <left/>
        <right/>
        <top style="thin">
          <color auto="1"/>
        </top>
        <bottom/>
        <vertical/>
        <horizontal/>
      </border>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right/>
        <top style="thin">
          <color auto="1"/>
        </top>
        <bottom/>
        <vertical/>
        <horizontal/>
      </border>
    </dxf>
    <dxf>
      <font>
        <b/>
        <i val="0"/>
      </font>
      <fill>
        <patternFill>
          <bgColor rgb="FFFF8989"/>
        </patternFill>
      </fill>
      <border>
        <left style="thin">
          <color auto="1"/>
        </left>
        <right style="thin">
          <color auto="1"/>
        </right>
        <top style="thin">
          <color auto="1"/>
        </top>
        <bottom style="thin">
          <color auto="1"/>
        </bottom>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font>
        <color theme="0"/>
      </font>
      <fill>
        <patternFill>
          <bgColor theme="0"/>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font>
        <color theme="0"/>
      </font>
      <fill>
        <patternFill>
          <bgColor theme="0"/>
        </patternFill>
      </fill>
      <border>
        <left/>
        <right/>
        <top/>
        <bottom/>
        <vertical/>
        <horizontal/>
      </border>
    </dxf>
    <dxf>
      <border>
        <bottom style="thin">
          <color auto="1"/>
        </bottom>
        <vertical/>
        <horizontal/>
      </border>
    </dxf>
    <dxf>
      <border>
        <left/>
        <right/>
        <top style="thin">
          <color auto="1"/>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right/>
        <top style="thin">
          <color auto="1"/>
        </top>
        <bottom/>
        <vertical/>
        <horizontal/>
      </border>
    </dxf>
    <dxf>
      <font>
        <b/>
        <i val="0"/>
      </font>
      <fill>
        <patternFill>
          <bgColor rgb="FFFF8989"/>
        </patternFill>
      </fill>
      <border>
        <left style="thin">
          <color auto="1"/>
        </left>
        <right style="thin">
          <color auto="1"/>
        </right>
        <top style="thin">
          <color auto="1"/>
        </top>
        <bottom style="thin">
          <color auto="1"/>
        </bottom>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top style="thin">
          <color auto="1"/>
        </top>
        <vertical/>
        <horizontal/>
      </border>
    </dxf>
    <dxf>
      <font>
        <color theme="0"/>
      </font>
      <fill>
        <patternFill>
          <bgColor theme="0"/>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border>
        <left/>
        <right/>
        <top style="thin">
          <color auto="1"/>
        </top>
        <bottom/>
        <vertical/>
        <horizontal/>
      </border>
    </dxf>
    <dxf>
      <font>
        <color theme="0"/>
      </font>
      <fill>
        <patternFill>
          <bgColor theme="0"/>
        </patternFill>
      </fill>
      <border>
        <left/>
        <right/>
        <top style="thin">
          <color auto="1"/>
        </top>
        <bottom/>
        <vertical/>
        <horizontal/>
      </border>
    </dxf>
    <dxf>
      <font>
        <color theme="0"/>
      </font>
      <fill>
        <patternFill>
          <bgColor theme="0"/>
        </patternFill>
      </fill>
      <border>
        <left/>
        <right/>
        <top style="thin">
          <color auto="1"/>
        </top>
        <bottom/>
        <vertical/>
        <horizontal/>
      </border>
    </dxf>
    <dxf>
      <font>
        <color theme="0"/>
      </font>
      <fill>
        <patternFill>
          <bgColor theme="0"/>
        </patternFill>
      </fill>
      <border>
        <left/>
        <right/>
        <top/>
        <bottom/>
        <vertical/>
        <horizontal/>
      </border>
    </dxf>
    <dxf>
      <font>
        <b/>
        <i val="0"/>
      </font>
      <fill>
        <patternFill>
          <bgColor rgb="FFFF7171"/>
        </patternFill>
      </fill>
      <border>
        <left style="thin">
          <color auto="1"/>
        </left>
        <right style="thin">
          <color auto="1"/>
        </right>
        <top style="thin">
          <color auto="1"/>
        </top>
        <bottom style="thin">
          <color auto="1"/>
        </bottom>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font>
        <color theme="0"/>
      </font>
      <fill>
        <patternFill>
          <bgColor theme="0"/>
        </patternFill>
      </fill>
      <border>
        <left/>
        <right/>
        <top/>
        <bottom/>
        <vertical/>
        <horizontal/>
      </border>
    </dxf>
    <dxf>
      <font>
        <color theme="0"/>
      </font>
      <fill>
        <patternFill patternType="none">
          <bgColor auto="1"/>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auto="1"/>
      </font>
      <fill>
        <patternFill>
          <bgColor rgb="FFDDEEC8"/>
        </patternFill>
      </fill>
      <border>
        <right style="thin">
          <color auto="1"/>
        </right>
        <bottom style="thin">
          <color auto="1"/>
        </bottom>
      </border>
    </dxf>
    <dxf>
      <font>
        <color theme="0"/>
      </font>
      <fill>
        <patternFill>
          <bgColor theme="0"/>
        </patternFill>
      </fill>
      <border>
        <left/>
        <right/>
        <top/>
        <bottom/>
        <vertical/>
        <horizontal/>
      </border>
    </dxf>
    <dxf>
      <font>
        <color theme="0"/>
      </font>
      <fill>
        <patternFill patternType="none">
          <bgColor auto="1"/>
        </patternFill>
      </fill>
      <border>
        <right style="thin">
          <color auto="1"/>
        </right>
        <bottom style="thin">
          <color auto="1"/>
        </bottom>
      </border>
    </dxf>
    <dxf>
      <font>
        <color auto="1"/>
      </font>
      <fill>
        <patternFill>
          <bgColor rgb="FFDDEEC8"/>
        </patternFill>
      </fill>
      <border>
        <right style="thin">
          <color auto="1"/>
        </right>
        <bottom style="thin">
          <color auto="1"/>
        </bottom>
      </border>
    </dxf>
    <dxf>
      <font>
        <color theme="0"/>
      </font>
      <fill>
        <patternFill>
          <bgColor theme="0"/>
        </patternFill>
      </fill>
      <border>
        <left/>
        <right/>
        <top/>
        <bottom/>
        <vertical/>
        <horizontal/>
      </border>
    </dxf>
    <dxf>
      <font>
        <color theme="0"/>
      </font>
      <fill>
        <patternFill patternType="none">
          <bgColor auto="1"/>
        </patternFill>
      </fill>
      <border>
        <right style="thin">
          <color auto="1"/>
        </right>
        <bottom style="thin">
          <color auto="1"/>
        </bottom>
      </border>
    </dxf>
    <dxf>
      <font>
        <color auto="1"/>
      </font>
      <fill>
        <patternFill>
          <bgColor rgb="FFDDEEC8"/>
        </patternFill>
      </fill>
      <border>
        <right style="thin">
          <color auto="1"/>
        </right>
        <bottom style="thin">
          <color auto="1"/>
        </bottom>
      </border>
    </dxf>
    <dxf>
      <border>
        <bottom style="thin">
          <color auto="1"/>
        </bottom>
        <vertical/>
        <horizontal/>
      </border>
    </dxf>
    <dxf>
      <font>
        <color theme="0"/>
      </font>
      <fill>
        <patternFill patternType="none">
          <bgColor auto="1"/>
        </patternFill>
      </fill>
      <border>
        <left/>
        <right/>
        <top/>
        <bottom/>
        <vertical/>
        <horizontal/>
      </border>
    </dxf>
    <dxf>
      <border>
        <left/>
        <right/>
        <top style="thin">
          <color auto="1"/>
        </top>
        <bottom style="thin">
          <color auto="1"/>
        </bottom>
        <vertical/>
        <horizontal/>
      </border>
    </dxf>
    <dxf>
      <font>
        <color theme="0"/>
      </font>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bottom style="thin">
          <color auto="1"/>
        </bottom>
        <vertical/>
        <horizontal/>
      </border>
    </dxf>
    <dxf>
      <font>
        <b/>
        <i val="0"/>
        <color rgb="FF9C0006"/>
      </font>
      <fill>
        <patternFill>
          <bgColor rgb="FFFFC7CE"/>
        </patternFill>
      </fill>
    </dxf>
    <dxf>
      <font>
        <b/>
        <i val="0"/>
        <color rgb="FF006100"/>
      </font>
      <fill>
        <patternFill>
          <bgColor rgb="FFC6EFCE"/>
        </patternFill>
      </fill>
    </dxf>
    <dxf>
      <fill>
        <patternFill>
          <bgColor rgb="FFFFFF99"/>
        </patternFill>
      </fill>
    </dxf>
    <dxf>
      <border>
        <left/>
        <right/>
        <top style="thin">
          <color auto="1"/>
        </top>
        <bottom style="thin">
          <color auto="1"/>
        </bottom>
        <vertical/>
        <horizontal/>
      </border>
    </dxf>
    <dxf>
      <font>
        <color theme="0"/>
      </font>
    </dxf>
    <dxf>
      <border>
        <bottom style="thin">
          <color auto="1"/>
        </bottom>
        <vertical/>
        <horizontal/>
      </border>
    </dxf>
    <dxf>
      <border>
        <bottom style="thin">
          <color auto="1"/>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left style="thin">
          <color auto="1"/>
        </left>
        <right style="thin">
          <color auto="1"/>
        </right>
        <vertical/>
        <horizontal/>
      </border>
    </dxf>
    <dxf>
      <border>
        <left/>
        <right/>
        <top/>
        <bottom/>
        <vertical/>
        <horizontal/>
      </border>
    </dxf>
    <dxf>
      <border>
        <left/>
        <right/>
        <top style="thin">
          <color auto="1"/>
        </top>
        <bottom style="thin">
          <color auto="1"/>
        </bottom>
        <vertical/>
        <horizontal/>
      </border>
    </dxf>
    <dxf>
      <font>
        <color theme="0"/>
      </font>
    </dxf>
    <dxf>
      <font>
        <color theme="0"/>
      </font>
    </dxf>
    <dxf>
      <font>
        <color theme="0"/>
      </font>
      <fill>
        <patternFill patternType="none">
          <bgColor auto="1"/>
        </patternFill>
      </fill>
      <border>
        <left/>
        <right/>
        <top style="thin">
          <color auto="1"/>
        </top>
        <bottom/>
      </border>
    </dxf>
    <dxf>
      <border>
        <bottom style="thin">
          <color auto="1"/>
        </bottom>
      </border>
    </dxf>
    <dxf>
      <font>
        <color theme="0"/>
      </font>
      <fill>
        <patternFill patternType="solid">
          <bgColor theme="0"/>
        </patternFill>
      </fill>
      <border>
        <left/>
        <right/>
        <top/>
        <bottom/>
        <vertical/>
        <horizontal/>
      </border>
    </dxf>
    <dxf>
      <border>
        <left/>
        <right/>
        <top style="thin">
          <color auto="1"/>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patternType="none">
          <bgColor auto="1"/>
        </patternFill>
      </fill>
      <border>
        <left/>
        <right/>
        <top/>
        <bottom/>
        <vertical/>
        <horizontal/>
      </border>
    </dxf>
    <dxf>
      <border>
        <top style="thin">
          <color auto="1"/>
        </top>
        <vertical/>
        <horizontal/>
      </border>
    </dxf>
    <dxf>
      <font>
        <b/>
        <i val="0"/>
        <color theme="0"/>
      </font>
      <fill>
        <patternFill patternType="solid">
          <bgColor theme="0"/>
        </patternFill>
      </fill>
      <border>
        <left/>
        <right/>
        <top/>
        <bottom/>
      </border>
    </dxf>
    <dxf>
      <font>
        <color theme="0"/>
      </font>
      <fill>
        <patternFill>
          <bgColor theme="0"/>
        </patternFill>
      </fill>
      <border>
        <left/>
        <right/>
        <top/>
        <bottom/>
        <vertical/>
        <horizontal/>
      </border>
    </dxf>
    <dxf>
      <font>
        <b/>
        <i val="0"/>
        <color rgb="FF006100"/>
      </font>
      <fill>
        <patternFill>
          <bgColor rgb="FFC6EFCE"/>
        </patternFill>
      </fill>
    </dxf>
    <dxf>
      <font>
        <b/>
        <i val="0"/>
        <color rgb="FF9C0006"/>
      </font>
      <fill>
        <patternFill>
          <bgColor rgb="FFFFC7CE"/>
        </patternFill>
      </fill>
    </dxf>
    <dxf>
      <fill>
        <patternFill>
          <bgColor rgb="FFFFFF99"/>
        </patternFill>
      </fill>
    </dxf>
    <dxf>
      <font>
        <color rgb="FF006100"/>
      </font>
      <fill>
        <patternFill>
          <bgColor rgb="FFC6EFCE"/>
        </patternFill>
      </fill>
    </dxf>
    <dxf>
      <font>
        <color rgb="FF9C0006"/>
      </font>
      <fill>
        <patternFill>
          <bgColor rgb="FFFFC7CE"/>
        </patternFill>
      </fill>
    </dxf>
    <dxf>
      <font>
        <b val="0"/>
        <i val="0"/>
      </font>
      <fill>
        <patternFill>
          <bgColor rgb="FFFFFF99"/>
        </patternFill>
      </fill>
    </dxf>
    <dxf>
      <font>
        <b/>
        <i val="0"/>
        <color rgb="FF006100"/>
      </font>
      <fill>
        <patternFill>
          <bgColor rgb="FFC6EFCE"/>
        </patternFill>
      </fill>
    </dxf>
    <dxf>
      <font>
        <b/>
        <i val="0"/>
        <color rgb="FF9C0006"/>
      </font>
      <fill>
        <patternFill>
          <bgColor rgb="FFFFC7CE"/>
        </patternFill>
      </fill>
    </dxf>
    <dxf>
      <font>
        <b val="0"/>
        <i val="0"/>
      </font>
      <fill>
        <patternFill>
          <bgColor rgb="FFFFFF99"/>
        </patternFill>
      </fill>
    </dxf>
  </dxfs>
  <tableStyles count="0" defaultTableStyle="TableStyleMedium9" defaultPivotStyle="PivotStyleLight16"/>
  <colors>
    <mruColors>
      <color rgb="FFFF8989"/>
      <color rgb="FFFF7171"/>
      <color rgb="FFCCF0CC"/>
      <color rgb="FFDDEEC8"/>
      <color rgb="FFDDEECE"/>
      <color rgb="FFFF5A5A"/>
      <color rgb="FF00FA64"/>
      <color rgb="FFFA5A5A"/>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oneCellAnchor>
    <xdr:from>
      <xdr:col>1</xdr:col>
      <xdr:colOff>219075</xdr:colOff>
      <xdr:row>1</xdr:row>
      <xdr:rowOff>142875</xdr:rowOff>
    </xdr:from>
    <xdr:ext cx="2453928" cy="1061886"/>
    <xdr:pic>
      <xdr:nvPicPr>
        <xdr:cNvPr id="3" name="Picture 2" descr="mca_Col_RGB_LowRes.jpg">
          <a:extLst>
            <a:ext uri="{FF2B5EF4-FFF2-40B4-BE49-F238E27FC236}">
              <a16:creationId xmlns:a16="http://schemas.microsoft.com/office/drawing/2014/main" id="{CE8BE834-0538-470B-8A15-C950B471884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9575" y="333375"/>
          <a:ext cx="2453928" cy="10618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1</xdr:col>
      <xdr:colOff>485775</xdr:colOff>
      <xdr:row>1</xdr:row>
      <xdr:rowOff>104775</xdr:rowOff>
    </xdr:from>
    <xdr:ext cx="2453928" cy="1061886"/>
    <xdr:pic>
      <xdr:nvPicPr>
        <xdr:cNvPr id="4" name="Picture 3" descr="mca_Col_RGB_LowRes.jpg">
          <a:extLst>
            <a:ext uri="{FF2B5EF4-FFF2-40B4-BE49-F238E27FC236}">
              <a16:creationId xmlns:a16="http://schemas.microsoft.com/office/drawing/2014/main" id="{80FA7E94-3B66-4550-802E-7DD6334666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6275" y="295275"/>
          <a:ext cx="2453928" cy="10618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485775</xdr:colOff>
      <xdr:row>1</xdr:row>
      <xdr:rowOff>104775</xdr:rowOff>
    </xdr:from>
    <xdr:ext cx="2453928" cy="1061886"/>
    <xdr:pic>
      <xdr:nvPicPr>
        <xdr:cNvPr id="7" name="Picture 6" descr="mca_Col_RGB_LowRes.jpg">
          <a:extLst>
            <a:ext uri="{FF2B5EF4-FFF2-40B4-BE49-F238E27FC236}">
              <a16:creationId xmlns:a16="http://schemas.microsoft.com/office/drawing/2014/main" id="{9F2B388D-9F7D-4BDA-9F19-7C53124A20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6275" y="295275"/>
          <a:ext cx="2453928" cy="10618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485775</xdr:colOff>
      <xdr:row>1</xdr:row>
      <xdr:rowOff>104775</xdr:rowOff>
    </xdr:from>
    <xdr:ext cx="2453928" cy="1061886"/>
    <xdr:pic>
      <xdr:nvPicPr>
        <xdr:cNvPr id="4" name="Picture 3" descr="mca_Col_RGB_LowRes.jpg">
          <a:extLst>
            <a:ext uri="{FF2B5EF4-FFF2-40B4-BE49-F238E27FC236}">
              <a16:creationId xmlns:a16="http://schemas.microsoft.com/office/drawing/2014/main" id="{BB110BCF-0E0F-4D69-8949-30C64F3B98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6275" y="295275"/>
          <a:ext cx="2453928" cy="10618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5.xml><?xml version="1.0" encoding="utf-8"?>
<xdr:wsDr xmlns:xdr="http://schemas.openxmlformats.org/drawingml/2006/spreadsheetDrawing" xmlns:a="http://schemas.openxmlformats.org/drawingml/2006/main">
  <xdr:oneCellAnchor>
    <xdr:from>
      <xdr:col>1</xdr:col>
      <xdr:colOff>485775</xdr:colOff>
      <xdr:row>1</xdr:row>
      <xdr:rowOff>104775</xdr:rowOff>
    </xdr:from>
    <xdr:ext cx="2453928" cy="1061886"/>
    <xdr:pic>
      <xdr:nvPicPr>
        <xdr:cNvPr id="3" name="Picture 2" descr="mca_Col_RGB_LowRes.jpg">
          <a:extLst>
            <a:ext uri="{FF2B5EF4-FFF2-40B4-BE49-F238E27FC236}">
              <a16:creationId xmlns:a16="http://schemas.microsoft.com/office/drawing/2014/main" id="{2F6ED840-B05F-446D-A7A0-DFD461270E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6275" y="295275"/>
          <a:ext cx="2453928" cy="10618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My%20Documents/Templates/Heat%20Transfer%20Fluid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CASERVER/Projects/Final%20Documents/17-204%20(Biovectra%20API%20facility%20Pilot%20Plant%20Relief%20Design/Design%20Data/Vessel%20R-2301/R-2301%20Tank%20Heating%20Calculation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CASERVER/Projects/Final%20Documents/17-216%20(Biovectra%20FC%20Expansion)/Design%20Data/Vessel%20Relief%20Calculations/M-2N02%20(Reflux%20Drum)/M2N02%20Safety%20Relief%20Data.xlsx" TargetMode="External"/></Relationships>
</file>

<file path=xl/externalLinks/_rels/externalLink4.xml.rels><?xml version="1.0" encoding="UTF-8" standalone="yes"?>
<Relationships xmlns="http://schemas.openxmlformats.org/package/2006/relationships"><Relationship Id="rId2" Type="http://schemas.microsoft.com/office/2019/04/relationships/externalLinkLongPath" Target="/Users/yeneirvine/Library/Containers/com.microsoft.Excel/Data/Documents/MCASERVER\Data\Projects\Final%20Documents\17-216%20(Biovectra%20FC%20Expansion)\Design%20Data\Vessel%20Relief%20Calculations\C-2N06%20(Acetone%20Still)\C-2N06%20and%2051-P118%20Heat%20Exchangers%20Safety%20Relief%20Data.xlsm?7059DD62" TargetMode="External"/><Relationship Id="rId1" Type="http://schemas.openxmlformats.org/officeDocument/2006/relationships/externalLinkPath" Target="file:///7059DD62/C-2N06%20and%2051-P118%20Heat%20Exchangers%20Safety%20Relief%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Dowtherm A"/>
      <sheetName val="Sheet3"/>
    </sheetNames>
    <sheetDataSet>
      <sheetData sheetId="0">
        <row r="129">
          <cell r="AB129">
            <v>-7.6957417582417486E-4</v>
          </cell>
          <cell r="AC129">
            <v>1.0862271062271061</v>
          </cell>
          <cell r="AD129">
            <v>4.3714285714285925E-5</v>
          </cell>
          <cell r="AE129">
            <v>0.16457714285714287</v>
          </cell>
          <cell r="AF129">
            <v>1.482428571428571E-3</v>
          </cell>
          <cell r="AG129">
            <v>0.65923999999999994</v>
          </cell>
        </row>
      </sheetData>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Input"/>
      <sheetName val="Datasheet"/>
      <sheetName val="Timeline"/>
      <sheetName val="Fluid Data"/>
      <sheetName val="Data Tables"/>
      <sheetName val="Calculations"/>
      <sheetName val="Saved Calcs"/>
    </sheetNames>
    <sheetDataSet>
      <sheetData sheetId="0">
        <row r="16">
          <cell r="C16" t="str">
            <v>D. MacMillan</v>
          </cell>
          <cell r="E16" t="str">
            <v>Biovectra</v>
          </cell>
        </row>
        <row r="17">
          <cell r="C17">
            <v>43010</v>
          </cell>
          <cell r="E17"/>
        </row>
        <row r="18">
          <cell r="E18" t="str">
            <v>xx</v>
          </cell>
        </row>
        <row r="19">
          <cell r="E19" t="str">
            <v>xx</v>
          </cell>
        </row>
        <row r="20">
          <cell r="E20" t="str">
            <v>R-2301</v>
          </cell>
        </row>
        <row r="24">
          <cell r="C24" t="str">
            <v>200Gal St. Steel</v>
          </cell>
        </row>
        <row r="25">
          <cell r="N25" t="str">
            <v>Heptane</v>
          </cell>
          <cell r="V25" t="b">
            <v>0</v>
          </cell>
        </row>
        <row r="26">
          <cell r="D26">
            <v>195</v>
          </cell>
        </row>
        <row r="27">
          <cell r="D27">
            <v>40</v>
          </cell>
          <cell r="I27">
            <v>353</v>
          </cell>
          <cell r="N27">
            <v>209</v>
          </cell>
        </row>
        <row r="28">
          <cell r="D28">
            <v>46</v>
          </cell>
        </row>
        <row r="30">
          <cell r="N30">
            <v>7.1340000000000001E-2</v>
          </cell>
        </row>
        <row r="31">
          <cell r="D31">
            <v>0.5</v>
          </cell>
          <cell r="N31">
            <v>0.53500000000000003</v>
          </cell>
        </row>
        <row r="32">
          <cell r="N32">
            <v>41.61</v>
          </cell>
        </row>
        <row r="33">
          <cell r="D33">
            <v>0.06</v>
          </cell>
          <cell r="N33">
            <v>0.376</v>
          </cell>
        </row>
        <row r="34">
          <cell r="D34">
            <v>7.0000000000000001E-3</v>
          </cell>
        </row>
        <row r="35">
          <cell r="D35">
            <v>7.0000000000000001E-3</v>
          </cell>
          <cell r="R35">
            <v>-3.3669786276333662</v>
          </cell>
          <cell r="S35">
            <v>458.97012204065089</v>
          </cell>
          <cell r="T35">
            <v>-156.97895134083799</v>
          </cell>
        </row>
        <row r="36">
          <cell r="D36">
            <v>1E-3</v>
          </cell>
        </row>
        <row r="37">
          <cell r="D37">
            <v>1E-3</v>
          </cell>
        </row>
        <row r="43">
          <cell r="N43">
            <v>30</v>
          </cell>
        </row>
        <row r="44">
          <cell r="N44">
            <v>4.5</v>
          </cell>
        </row>
        <row r="45">
          <cell r="D45">
            <v>1</v>
          </cell>
          <cell r="N45">
            <v>90</v>
          </cell>
        </row>
        <row r="46">
          <cell r="D46">
            <v>0.63</v>
          </cell>
          <cell r="I46">
            <v>90</v>
          </cell>
          <cell r="N46">
            <v>3</v>
          </cell>
        </row>
        <row r="47">
          <cell r="N47">
            <v>240</v>
          </cell>
        </row>
        <row r="51">
          <cell r="D51">
            <v>120</v>
          </cell>
        </row>
        <row r="52">
          <cell r="D52">
            <v>0.98429999999999995</v>
          </cell>
        </row>
        <row r="57">
          <cell r="D57">
            <v>2</v>
          </cell>
        </row>
        <row r="60">
          <cell r="D60">
            <v>2</v>
          </cell>
        </row>
        <row r="61">
          <cell r="D61">
            <v>0.625</v>
          </cell>
        </row>
        <row r="62">
          <cell r="D62">
            <v>2.36</v>
          </cell>
        </row>
        <row r="67">
          <cell r="D67">
            <v>0.37401574803149606</v>
          </cell>
        </row>
        <row r="69">
          <cell r="D69">
            <v>2.6377952755905514</v>
          </cell>
        </row>
        <row r="70">
          <cell r="D70">
            <v>3.0000000000000004</v>
          </cell>
        </row>
        <row r="71">
          <cell r="D71">
            <v>1.2598425196850394</v>
          </cell>
        </row>
        <row r="78">
          <cell r="H78">
            <v>0</v>
          </cell>
          <cell r="I78">
            <v>0</v>
          </cell>
          <cell r="L78">
            <v>0</v>
          </cell>
        </row>
        <row r="80">
          <cell r="H80">
            <v>0</v>
          </cell>
          <cell r="I80">
            <v>0</v>
          </cell>
          <cell r="L80">
            <v>0</v>
          </cell>
        </row>
        <row r="81">
          <cell r="D81">
            <v>1</v>
          </cell>
        </row>
        <row r="87">
          <cell r="D87">
            <v>672.1</v>
          </cell>
        </row>
      </sheetData>
      <sheetData sheetId="1"/>
      <sheetData sheetId="2">
        <row r="2">
          <cell r="B2">
            <v>2</v>
          </cell>
        </row>
      </sheetData>
      <sheetData sheetId="3">
        <row r="61">
          <cell r="A61" t="str">
            <v>Air</v>
          </cell>
          <cell r="B61"/>
          <cell r="C61"/>
          <cell r="D61">
            <v>-213</v>
          </cell>
          <cell r="E61">
            <v>-162</v>
          </cell>
          <cell r="F61"/>
          <cell r="G61">
            <v>6.7811554523475586</v>
          </cell>
          <cell r="H61">
            <v>311.07741333272384</v>
          </cell>
          <cell r="I61">
            <v>273.82817544694547</v>
          </cell>
          <cell r="J61">
            <v>37</v>
          </cell>
          <cell r="K61">
            <v>76.8</v>
          </cell>
          <cell r="L61">
            <v>106.56111111111107</v>
          </cell>
          <cell r="M61">
            <v>-4.0805590840834221</v>
          </cell>
          <cell r="N61">
            <v>144.48463007646788</v>
          </cell>
          <cell r="O61">
            <v>-15.295999925044118</v>
          </cell>
          <cell r="P61">
            <v>-7.4521121124707275</v>
          </cell>
          <cell r="Q61">
            <v>900.05443109491762</v>
          </cell>
          <cell r="R61">
            <v>80.531714338869648</v>
          </cell>
          <cell r="S61">
            <v>-1.0136830960515826</v>
          </cell>
          <cell r="T61">
            <v>106.3966437588399</v>
          </cell>
          <cell r="U61">
            <v>-171.92769231715599</v>
          </cell>
          <cell r="V61">
            <v>-0.39852212408087362</v>
          </cell>
          <cell r="W61">
            <v>-23.390577066952506</v>
          </cell>
          <cell r="X61">
            <v>-9.5981472138920989E-4</v>
          </cell>
          <cell r="Y61">
            <v>-0.10509599406483333</v>
          </cell>
          <cell r="Z61">
            <v>3.8766465414108459E-3</v>
          </cell>
          <cell r="AA61">
            <v>1.2390398262179465</v>
          </cell>
        </row>
        <row r="62">
          <cell r="A62" t="str">
            <v>Ammonia</v>
          </cell>
          <cell r="B62"/>
          <cell r="C62"/>
          <cell r="D62">
            <v>-73</v>
          </cell>
          <cell r="E62">
            <v>38</v>
          </cell>
          <cell r="F62"/>
          <cell r="G62">
            <v>7.4786082392086861</v>
          </cell>
          <cell r="H62">
            <v>969.85449258400672</v>
          </cell>
          <cell r="I62">
            <v>244.2553295774963</v>
          </cell>
          <cell r="J62">
            <v>177</v>
          </cell>
          <cell r="K62">
            <v>255.37222222222221</v>
          </cell>
          <cell r="L62">
            <v>283.14999999999998</v>
          </cell>
          <cell r="M62">
            <v>-5.1107797881686166</v>
          </cell>
          <cell r="N62">
            <v>1070.1942687298783</v>
          </cell>
          <cell r="O62">
            <v>43.954547808788817</v>
          </cell>
          <cell r="P62">
            <v>-8.7885823375533931</v>
          </cell>
          <cell r="Q62">
            <v>4468.0602490926831</v>
          </cell>
          <cell r="R62">
            <v>360.6451343989454</v>
          </cell>
          <cell r="S62">
            <v>-39.462263358322183</v>
          </cell>
          <cell r="T62">
            <v>135727.04558383112</v>
          </cell>
          <cell r="U62">
            <v>3325.2807094257087</v>
          </cell>
          <cell r="V62">
            <v>-9.9442275905912314E-2</v>
          </cell>
          <cell r="W62">
            <v>39.536039097266368</v>
          </cell>
          <cell r="X62">
            <v>-1.2362097902097902E-3</v>
          </cell>
          <cell r="Y62">
            <v>0.29969041958041959</v>
          </cell>
          <cell r="Z62">
            <v>3.3358960584869684E-3</v>
          </cell>
          <cell r="AA62">
            <v>1.1360123442466621</v>
          </cell>
        </row>
        <row r="63">
          <cell r="A63" t="str">
            <v>Argon</v>
          </cell>
          <cell r="B63"/>
          <cell r="C63"/>
          <cell r="D63">
            <v>-187</v>
          </cell>
          <cell r="E63">
            <v>-148</v>
          </cell>
          <cell r="F63"/>
          <cell r="G63">
            <v>6.9023667449388268</v>
          </cell>
          <cell r="H63">
            <v>358.42876985657404</v>
          </cell>
          <cell r="I63">
            <v>274.63445282170551</v>
          </cell>
          <cell r="J63">
            <v>63</v>
          </cell>
          <cell r="K63">
            <v>94.316666666666663</v>
          </cell>
          <cell r="L63">
            <v>105.42777777777778</v>
          </cell>
          <cell r="M63">
            <v>-6.2169712878674011</v>
          </cell>
          <cell r="N63">
            <v>810.74985527489798</v>
          </cell>
          <cell r="O63">
            <v>80.003223926222589</v>
          </cell>
          <cell r="P63">
            <v>-9.0298749486044674</v>
          </cell>
          <cell r="Q63">
            <v>2093.1149774225883</v>
          </cell>
          <cell r="R63">
            <v>186.11758146626548</v>
          </cell>
          <cell r="S63">
            <v>-104.7595822133073</v>
          </cell>
          <cell r="T63">
            <v>432471.73408592906</v>
          </cell>
          <cell r="U63">
            <v>4097.0362103034795</v>
          </cell>
          <cell r="V63">
            <v>-0.44458791946310844</v>
          </cell>
          <cell r="W63">
            <v>4.7563503355668155</v>
          </cell>
          <cell r="X63">
            <v>-8.1322147651013933E-4</v>
          </cell>
          <cell r="Y63">
            <v>-7.6045089485471076E-2</v>
          </cell>
          <cell r="Z63">
            <v>1.3985753424660861E-3</v>
          </cell>
          <cell r="AA63">
            <v>0.51664613698635975</v>
          </cell>
        </row>
        <row r="64">
          <cell r="A64" t="str">
            <v>Butane, iso-</v>
          </cell>
          <cell r="B64"/>
          <cell r="C64"/>
          <cell r="D64">
            <v>-101</v>
          </cell>
          <cell r="E64">
            <v>93</v>
          </cell>
          <cell r="F64"/>
          <cell r="G64">
            <v>6.9454606150038227</v>
          </cell>
          <cell r="H64">
            <v>974.63269299375293</v>
          </cell>
          <cell r="I64">
            <v>251.33845986475163</v>
          </cell>
          <cell r="J64">
            <v>149</v>
          </cell>
          <cell r="K64">
            <v>269.26111111111106</v>
          </cell>
          <cell r="L64">
            <v>324.81666666666666</v>
          </cell>
          <cell r="M64">
            <v>-5.3081935717281779</v>
          </cell>
          <cell r="N64">
            <v>1255.8563703370689</v>
          </cell>
          <cell r="O64">
            <v>66.567286263150635</v>
          </cell>
          <cell r="P64">
            <v>-16.740222972997596</v>
          </cell>
          <cell r="Q64">
            <v>20265.648414185311</v>
          </cell>
          <cell r="R64">
            <v>1066.5003768187141</v>
          </cell>
          <cell r="S64">
            <v>3.7585072583551935</v>
          </cell>
          <cell r="T64">
            <v>3334.1940570899164</v>
          </cell>
          <cell r="U64">
            <v>-886.79784396491584</v>
          </cell>
          <cell r="V64">
            <v>-7.6492528301886784E-2</v>
          </cell>
          <cell r="W64">
            <v>35.687038490566039</v>
          </cell>
          <cell r="X64">
            <v>-2.1588452830188676E-4</v>
          </cell>
          <cell r="Y64">
            <v>6.0586958490566035E-2</v>
          </cell>
          <cell r="Z64">
            <v>1.5613743396226422E-3</v>
          </cell>
          <cell r="AA64">
            <v>0.57601889811320761</v>
          </cell>
        </row>
        <row r="65">
          <cell r="A65" t="str">
            <v>Butane, n-</v>
          </cell>
          <cell r="B65"/>
          <cell r="C65"/>
          <cell r="D65">
            <v>-101</v>
          </cell>
          <cell r="E65">
            <v>93</v>
          </cell>
          <cell r="F65"/>
          <cell r="G65">
            <v>6.9502740309282345</v>
          </cell>
          <cell r="H65">
            <v>1004.3982403905433</v>
          </cell>
          <cell r="I65">
            <v>247.28213311793121</v>
          </cell>
          <cell r="J65">
            <v>149</v>
          </cell>
          <cell r="K65">
            <v>269.26111111111106</v>
          </cell>
          <cell r="L65">
            <v>324.81666666666666</v>
          </cell>
          <cell r="M65">
            <v>-4.6233020294476619</v>
          </cell>
          <cell r="N65">
            <v>979.04479426100079</v>
          </cell>
          <cell r="O65">
            <v>50.212313435964333</v>
          </cell>
          <cell r="P65">
            <v>-12.949993226138993</v>
          </cell>
          <cell r="Q65">
            <v>13089.600344171673</v>
          </cell>
          <cell r="R65">
            <v>879.83151946988835</v>
          </cell>
          <cell r="S65">
            <v>8.3970663765943243</v>
          </cell>
          <cell r="T65">
            <v>11633.752397669354</v>
          </cell>
          <cell r="U65">
            <v>-1434.7859245272059</v>
          </cell>
          <cell r="V65">
            <v>-7.0670716981132031E-2</v>
          </cell>
          <cell r="W65">
            <v>37.068575094339622</v>
          </cell>
          <cell r="X65">
            <v>-2.5970943396226418E-4</v>
          </cell>
          <cell r="Y65">
            <v>6.9684830188679242E-2</v>
          </cell>
          <cell r="Z65">
            <v>1.1016211764705891E-3</v>
          </cell>
          <cell r="AA65">
            <v>0.57031731764705884</v>
          </cell>
        </row>
        <row r="66">
          <cell r="A66" t="str">
            <v>Calflo AF</v>
          </cell>
          <cell r="B66" t="str">
            <v>Petro-Canada</v>
          </cell>
          <cell r="C66" t="str">
            <v>2-stage semi-synthetic severely-hydrogenated paraffinic compounds</v>
          </cell>
          <cell r="D66">
            <v>0</v>
          </cell>
          <cell r="E66">
            <v>290</v>
          </cell>
          <cell r="F66"/>
          <cell r="G66">
            <v>8.6890110088490236E-2</v>
          </cell>
          <cell r="H66">
            <v>247.25127183786233</v>
          </cell>
          <cell r="I66">
            <v>-440.87557313423224</v>
          </cell>
          <cell r="J66">
            <v>250</v>
          </cell>
          <cell r="K66">
            <v>373.15</v>
          </cell>
          <cell r="L66">
            <v>473.15</v>
          </cell>
          <cell r="M66">
            <v>-2.3960788743626384</v>
          </cell>
          <cell r="N66">
            <v>737.97696203035389</v>
          </cell>
          <cell r="O66">
            <v>-183.05979722629448</v>
          </cell>
          <cell r="P66">
            <v>-2.9646706170055839</v>
          </cell>
          <cell r="Q66">
            <v>951.7531218572442</v>
          </cell>
          <cell r="R66">
            <v>-159.31315845799946</v>
          </cell>
          <cell r="S66">
            <v>-3.0800936669875489</v>
          </cell>
          <cell r="T66">
            <v>1022.0561601604174</v>
          </cell>
          <cell r="U66">
            <v>-148.48774991497692</v>
          </cell>
          <cell r="V66">
            <v>-4.205759999999991E-2</v>
          </cell>
          <cell r="W66">
            <v>54.000959999999978</v>
          </cell>
          <cell r="X66">
            <v>-3.004285714285715E-5</v>
          </cell>
          <cell r="Y66">
            <v>8.2706428571428584E-2</v>
          </cell>
          <cell r="Z66">
            <v>7.785714285714286E-4</v>
          </cell>
          <cell r="AA66">
            <v>0.44178571428571434</v>
          </cell>
        </row>
        <row r="67">
          <cell r="A67" t="str">
            <v>Calflo FG</v>
          </cell>
          <cell r="B67" t="str">
            <v>Petro-Canada</v>
          </cell>
          <cell r="C67" t="str">
            <v>semi-synthetic paraffinic heat transfer fluid</v>
          </cell>
          <cell r="D67">
            <v>0</v>
          </cell>
          <cell r="E67">
            <v>326</v>
          </cell>
          <cell r="F67"/>
          <cell r="G67">
            <v>-0.15476357394054374</v>
          </cell>
          <cell r="H67">
            <v>271.03317038732456</v>
          </cell>
          <cell r="I67">
            <v>-439.64191479094535</v>
          </cell>
          <cell r="J67">
            <v>250</v>
          </cell>
          <cell r="K67">
            <v>373.15</v>
          </cell>
          <cell r="L67">
            <v>473.15</v>
          </cell>
          <cell r="M67">
            <v>-2.5560068085391539</v>
          </cell>
          <cell r="N67">
            <v>793.04285542308685</v>
          </cell>
          <cell r="O67">
            <v>-179.13234328114532</v>
          </cell>
          <cell r="P67">
            <v>-2.960667740567299</v>
          </cell>
          <cell r="Q67">
            <v>948.40669998885289</v>
          </cell>
          <cell r="R67">
            <v>-162.02412731413898</v>
          </cell>
          <cell r="S67">
            <v>-3.0849704272317857</v>
          </cell>
          <cell r="T67">
            <v>1023.6767000239035</v>
          </cell>
          <cell r="U67">
            <v>-150.48906961190013</v>
          </cell>
          <cell r="V67">
            <v>-4.1932799999999971E-2</v>
          </cell>
          <cell r="W67">
            <v>53.85743999999999</v>
          </cell>
          <cell r="X67">
            <v>-3.1199999999999789E-5</v>
          </cell>
          <cell r="Y67">
            <v>7.9949999999999952E-2</v>
          </cell>
          <cell r="Z67">
            <v>8.0000000000000091E-4</v>
          </cell>
          <cell r="AA67">
            <v>0.43</v>
          </cell>
        </row>
        <row r="68">
          <cell r="A68" t="str">
            <v>Calflo HTF</v>
          </cell>
          <cell r="B68" t="str">
            <v>Petro-Canada</v>
          </cell>
          <cell r="C68" t="str">
            <v>2-stage semi-synthetic severely-hydrogenated paraffinic compounds</v>
          </cell>
          <cell r="D68">
            <v>0</v>
          </cell>
          <cell r="E68">
            <v>327</v>
          </cell>
          <cell r="F68"/>
          <cell r="G68">
            <v>7.4273429164916172</v>
          </cell>
          <cell r="H68">
            <v>2970.7329845761119</v>
          </cell>
          <cell r="I68">
            <v>225.1933254162582</v>
          </cell>
          <cell r="J68">
            <v>250</v>
          </cell>
          <cell r="K68">
            <v>373.15</v>
          </cell>
          <cell r="L68">
            <v>473.15</v>
          </cell>
          <cell r="M68">
            <v>-2.5556171663910483</v>
          </cell>
          <cell r="N68">
            <v>798.76419139751749</v>
          </cell>
          <cell r="O68">
            <v>-179.47588442050011</v>
          </cell>
          <cell r="P68">
            <v>-2.9421738769415398</v>
          </cell>
          <cell r="Q68">
            <v>946.16162477322086</v>
          </cell>
          <cell r="R68">
            <v>-163.39647775802064</v>
          </cell>
          <cell r="S68">
            <v>-3.0590402273011983</v>
          </cell>
          <cell r="T68">
            <v>1013.0433477487378</v>
          </cell>
          <cell r="U68">
            <v>-153.72198822635099</v>
          </cell>
          <cell r="V68">
            <v>-4.1932800000000083E-2</v>
          </cell>
          <cell r="W68">
            <v>54.231840000000012</v>
          </cell>
          <cell r="X68">
            <v>-3.0057142857142992E-5</v>
          </cell>
          <cell r="Y68">
            <v>8.3140000000000019E-2</v>
          </cell>
          <cell r="Z68">
            <v>7.785714285714286E-4</v>
          </cell>
          <cell r="AA68">
            <v>0.44178571428571434</v>
          </cell>
        </row>
        <row r="69">
          <cell r="A69" t="str">
            <v>Calflo LT</v>
          </cell>
          <cell r="B69" t="str">
            <v>Petro-Canada</v>
          </cell>
          <cell r="C69" t="str">
            <v>synthetic and restructured hydrocarbons with oxidation inhibitors</v>
          </cell>
          <cell r="D69">
            <v>5</v>
          </cell>
          <cell r="E69">
            <v>260</v>
          </cell>
          <cell r="F69"/>
          <cell r="G69"/>
          <cell r="H69"/>
          <cell r="I69"/>
          <cell r="J69">
            <v>255</v>
          </cell>
          <cell r="K69">
            <v>333.15</v>
          </cell>
          <cell r="L69">
            <v>433.15</v>
          </cell>
          <cell r="M69">
            <v>-2.8992243819183798</v>
          </cell>
          <cell r="N69">
            <v>739.04227693017151</v>
          </cell>
          <cell r="O69">
            <v>-157.77006703790053</v>
          </cell>
          <cell r="P69">
            <v>-2.9535230176415137</v>
          </cell>
          <cell r="Q69">
            <v>790.15222452551393</v>
          </cell>
          <cell r="R69">
            <v>-148.0267133620645</v>
          </cell>
          <cell r="S69">
            <v>-2.9140380182850047</v>
          </cell>
          <cell r="T69">
            <v>763.86461334068679</v>
          </cell>
          <cell r="U69">
            <v>-153.52844396559465</v>
          </cell>
          <cell r="V69">
            <v>-4.2391885714285746E-2</v>
          </cell>
          <cell r="W69">
            <v>51.53620457142857</v>
          </cell>
          <cell r="X69">
            <v>-4.9121428571428582E-5</v>
          </cell>
          <cell r="Y69">
            <v>8.2411928571428567E-2</v>
          </cell>
          <cell r="Z69">
            <v>8.0000000000000004E-4</v>
          </cell>
          <cell r="AA69">
            <v>0.48199999999999993</v>
          </cell>
        </row>
        <row r="70">
          <cell r="A70" t="str">
            <v>Carbon Dioxide</v>
          </cell>
          <cell r="B70"/>
          <cell r="C70"/>
          <cell r="D70">
            <v>-54</v>
          </cell>
          <cell r="E70">
            <v>-18</v>
          </cell>
          <cell r="F70"/>
          <cell r="G70">
            <v>7.2796258511546181</v>
          </cell>
          <cell r="H70">
            <v>723.88148748067351</v>
          </cell>
          <cell r="I70">
            <v>252.74710028968613</v>
          </cell>
          <cell r="J70">
            <v>196</v>
          </cell>
          <cell r="K70">
            <v>237.59444444444443</v>
          </cell>
          <cell r="L70">
            <v>248.70555555555552</v>
          </cell>
          <cell r="M70">
            <v>-6.478609032067288</v>
          </cell>
          <cell r="N70">
            <v>1504.6916821469458</v>
          </cell>
          <cell r="O70">
            <v>76.833404614743884</v>
          </cell>
          <cell r="P70">
            <v>-7.7179070997370189</v>
          </cell>
          <cell r="Q70">
            <v>2289.5648404691506</v>
          </cell>
          <cell r="R70">
            <v>142.42961382806601</v>
          </cell>
          <cell r="S70">
            <v>-12.529456828327318</v>
          </cell>
          <cell r="T70">
            <v>7264.4838729342864</v>
          </cell>
          <cell r="U70">
            <v>432.43406012125439</v>
          </cell>
          <cell r="V70">
            <v>-0.26277555704312588</v>
          </cell>
          <cell r="W70">
            <v>59.115596251315012</v>
          </cell>
          <cell r="X70">
            <v>-7.1706512384048726E-4</v>
          </cell>
          <cell r="Y70">
            <v>6.3645887921966224E-2</v>
          </cell>
          <cell r="Z70">
            <v>1.6632313282968802E-3</v>
          </cell>
          <cell r="AA70">
            <v>0.54669294730802476</v>
          </cell>
        </row>
        <row r="71">
          <cell r="A71" t="str">
            <v>Chemtherm 550</v>
          </cell>
          <cell r="B71" t="str">
            <v>Coastal</v>
          </cell>
          <cell r="C71" t="str">
            <v>Paraffinic hydrocarbon (single cut)</v>
          </cell>
          <cell r="D71">
            <v>30</v>
          </cell>
          <cell r="E71">
            <v>350</v>
          </cell>
          <cell r="F71"/>
          <cell r="G71"/>
          <cell r="H71"/>
          <cell r="I71"/>
          <cell r="J71">
            <v>288</v>
          </cell>
          <cell r="K71">
            <v>311.14999999999998</v>
          </cell>
          <cell r="L71">
            <v>589.15</v>
          </cell>
          <cell r="M71">
            <v>-5.1158219132339395</v>
          </cell>
          <cell r="N71">
            <v>2128.6535234233015</v>
          </cell>
          <cell r="O71">
            <v>-63.356666666666676</v>
          </cell>
          <cell r="P71">
            <v>-5.1158219132339395</v>
          </cell>
          <cell r="Q71">
            <v>2128.6535234233015</v>
          </cell>
          <cell r="R71">
            <v>-63.356666666666676</v>
          </cell>
          <cell r="S71">
            <v>-5.1158219132339395</v>
          </cell>
          <cell r="T71">
            <v>2128.6535234233015</v>
          </cell>
          <cell r="U71">
            <v>-63.356666666666676</v>
          </cell>
          <cell r="V71">
            <v>-4.4999999999999998E-2</v>
          </cell>
          <cell r="W71">
            <v>55.2</v>
          </cell>
          <cell r="X71">
            <v>-7.8299999999999369E-5</v>
          </cell>
          <cell r="Y71">
            <v>7.1541333333333207E-2</v>
          </cell>
          <cell r="Z71">
            <v>9.1799999999999478E-4</v>
          </cell>
          <cell r="AA71">
            <v>0.40832000000000113</v>
          </cell>
        </row>
        <row r="72">
          <cell r="A72" t="str">
            <v>Dowfrost HD, 10 vol%</v>
          </cell>
          <cell r="B72" t="str">
            <v>Dow Chemical Co.</v>
          </cell>
          <cell r="C72" t="str">
            <v>Propylene Glycol, water, and inhibitors</v>
          </cell>
          <cell r="D72">
            <v>0</v>
          </cell>
          <cell r="E72">
            <v>150</v>
          </cell>
          <cell r="F72"/>
          <cell r="G72"/>
          <cell r="H72"/>
          <cell r="I72"/>
          <cell r="J72">
            <v>250</v>
          </cell>
          <cell r="K72">
            <v>305.37222222222221</v>
          </cell>
          <cell r="L72">
            <v>366.48333333333329</v>
          </cell>
          <cell r="M72">
            <v>-2.9362644199924475</v>
          </cell>
          <cell r="N72">
            <v>402.32553872340651</v>
          </cell>
          <cell r="O72">
            <v>-170.59226179601501</v>
          </cell>
          <cell r="P72">
            <v>-4.455763716358125</v>
          </cell>
          <cell r="Q72">
            <v>944.75062310410055</v>
          </cell>
          <cell r="R72">
            <v>-95.639882869350529</v>
          </cell>
          <cell r="S72">
            <v>-5.483662084662928</v>
          </cell>
          <cell r="T72">
            <v>1729.6966026449545</v>
          </cell>
          <cell r="U72">
            <v>16.525237439090404</v>
          </cell>
          <cell r="V72">
            <v>-3.7798801065719451E-2</v>
          </cell>
          <cell r="W72">
            <v>64.010769982238003</v>
          </cell>
          <cell r="X72">
            <v>3.1971580817051281E-4</v>
          </cell>
          <cell r="Y72">
            <v>0.30832859680284208</v>
          </cell>
          <cell r="Z72">
            <v>3.0848579040852498E-4</v>
          </cell>
          <cell r="AA72">
            <v>0.96771642984014217</v>
          </cell>
        </row>
        <row r="73">
          <cell r="A73" t="str">
            <v>Dowfrost HD, 20 vol%</v>
          </cell>
          <cell r="B73" t="str">
            <v>Dow Chemical Co.</v>
          </cell>
          <cell r="C73" t="str">
            <v>Propylene Glycol, water, and inhibitors</v>
          </cell>
          <cell r="D73">
            <v>-5</v>
          </cell>
          <cell r="E73">
            <v>150</v>
          </cell>
          <cell r="F73"/>
          <cell r="G73"/>
          <cell r="H73"/>
          <cell r="I73"/>
          <cell r="J73">
            <v>245</v>
          </cell>
          <cell r="K73">
            <v>305.37222222222221</v>
          </cell>
          <cell r="L73">
            <v>366.48333333333329</v>
          </cell>
          <cell r="M73">
            <v>-4.0775728636488253</v>
          </cell>
          <cell r="N73">
            <v>751.46138782914886</v>
          </cell>
          <cell r="O73">
            <v>-135.94280021746516</v>
          </cell>
          <cell r="P73">
            <v>-3.7817932563402805</v>
          </cell>
          <cell r="Q73">
            <v>670.28035893729862</v>
          </cell>
          <cell r="R73">
            <v>-143.44793450808316</v>
          </cell>
          <cell r="S73">
            <v>-3.5828965736385037</v>
          </cell>
          <cell r="T73">
            <v>645.7743896456069</v>
          </cell>
          <cell r="U73">
            <v>-136.37294178192261</v>
          </cell>
          <cell r="V73">
            <v>-4.0540630323680098E-2</v>
          </cell>
          <cell r="W73">
            <v>64.9093500851789</v>
          </cell>
          <cell r="X73">
            <v>2.7088160136286114E-4</v>
          </cell>
          <cell r="Y73">
            <v>0.27795089437819426</v>
          </cell>
          <cell r="Z73">
            <v>4.8215928449744108E-4</v>
          </cell>
          <cell r="AA73">
            <v>0.93233045144804105</v>
          </cell>
        </row>
        <row r="74">
          <cell r="A74" t="str">
            <v>Dowfrost HD, 30 vol%</v>
          </cell>
          <cell r="B74" t="str">
            <v>Dow Chemical Co.</v>
          </cell>
          <cell r="C74" t="str">
            <v>Propylene Glycol, water, and inhibitors</v>
          </cell>
          <cell r="D74">
            <v>-10</v>
          </cell>
          <cell r="E74">
            <v>150</v>
          </cell>
          <cell r="F74"/>
          <cell r="G74"/>
          <cell r="H74"/>
          <cell r="I74"/>
          <cell r="J74">
            <v>240</v>
          </cell>
          <cell r="K74">
            <v>305.37222222222221</v>
          </cell>
          <cell r="L74">
            <v>366.48333333333329</v>
          </cell>
          <cell r="M74">
            <v>-4.4077223729439794</v>
          </cell>
          <cell r="N74">
            <v>846.22469970665372</v>
          </cell>
          <cell r="O74">
            <v>-140.11565632066683</v>
          </cell>
          <cell r="P74">
            <v>-2.9592385525679816</v>
          </cell>
          <cell r="Q74">
            <v>430.82934128373483</v>
          </cell>
          <cell r="R74">
            <v>-188.04998844825053</v>
          </cell>
          <cell r="S74">
            <v>-2.2252945869859233</v>
          </cell>
          <cell r="T74">
            <v>196.37653907340956</v>
          </cell>
          <cell r="U74">
            <v>-249.63200221477868</v>
          </cell>
          <cell r="V74">
            <v>-4.3058571428571737E-2</v>
          </cell>
          <cell r="W74">
            <v>65.694800000000015</v>
          </cell>
          <cell r="X74">
            <v>2.1599999999999986E-4</v>
          </cell>
          <cell r="Y74">
            <v>0.25078285714285714</v>
          </cell>
          <cell r="Z74">
            <v>6.8399999999999364E-4</v>
          </cell>
          <cell r="AA74">
            <v>0.89036000000000048</v>
          </cell>
        </row>
        <row r="75">
          <cell r="A75" t="str">
            <v>Dowfrost HD, 40 vol%</v>
          </cell>
          <cell r="B75" t="str">
            <v>Dow Chemical Co.</v>
          </cell>
          <cell r="C75" t="str">
            <v>Propylene Glycol, water, and inhibitors</v>
          </cell>
          <cell r="D75">
            <v>-15</v>
          </cell>
          <cell r="E75">
            <v>150</v>
          </cell>
          <cell r="F75"/>
          <cell r="G75"/>
          <cell r="H75"/>
          <cell r="I75"/>
          <cell r="J75">
            <v>235</v>
          </cell>
          <cell r="K75">
            <v>305.37222222222221</v>
          </cell>
          <cell r="L75">
            <v>366.48333333333329</v>
          </cell>
          <cell r="M75">
            <v>-4.1101814642630261</v>
          </cell>
          <cell r="N75">
            <v>761.5948309517704</v>
          </cell>
          <cell r="O75">
            <v>-158.00399604871924</v>
          </cell>
          <cell r="P75">
            <v>-2.9197155839975224</v>
          </cell>
          <cell r="Q75">
            <v>447.37150555479167</v>
          </cell>
          <cell r="R75">
            <v>-192.89683707875861</v>
          </cell>
          <cell r="S75">
            <v>-2.1514149149465132</v>
          </cell>
          <cell r="T75">
            <v>208.96467620357407</v>
          </cell>
          <cell r="U75">
            <v>-250.96460164573722</v>
          </cell>
          <cell r="V75">
            <v>-4.5964285714285957E-2</v>
          </cell>
          <cell r="W75">
            <v>66.434285714285721</v>
          </cell>
          <cell r="X75">
            <v>1.5428571428571387E-4</v>
          </cell>
          <cell r="Y75">
            <v>0.22760000000000002</v>
          </cell>
          <cell r="Z75">
            <v>8.8199999999999314E-4</v>
          </cell>
          <cell r="AA75">
            <v>0.84299428571428625</v>
          </cell>
        </row>
        <row r="76">
          <cell r="A76" t="str">
            <v>Dowfrost HD, 50 vol%</v>
          </cell>
          <cell r="B76" t="str">
            <v>Dow Chemical Co.</v>
          </cell>
          <cell r="C76" t="str">
            <v>Propylene Glycol, water, and inhibitors</v>
          </cell>
          <cell r="D76">
            <v>-25</v>
          </cell>
          <cell r="E76">
            <v>150</v>
          </cell>
          <cell r="F76"/>
          <cell r="G76"/>
          <cell r="H76"/>
          <cell r="I76"/>
          <cell r="J76">
            <v>225</v>
          </cell>
          <cell r="K76">
            <v>283.14999999999998</v>
          </cell>
          <cell r="L76">
            <v>355.37222222222221</v>
          </cell>
          <cell r="M76">
            <v>-5.2480382309436173</v>
          </cell>
          <cell r="N76">
            <v>1132.6815440415269</v>
          </cell>
          <cell r="O76">
            <v>-134.37913953061675</v>
          </cell>
          <cell r="P76">
            <v>-3.4313857453438983</v>
          </cell>
          <cell r="Q76">
            <v>641.80473146898817</v>
          </cell>
          <cell r="R76">
            <v>-172.43570809474627</v>
          </cell>
          <cell r="S76">
            <v>-2.4060779070567877</v>
          </cell>
          <cell r="T76">
            <v>300.01565103142372</v>
          </cell>
          <cell r="U76">
            <v>-234.54622742670503</v>
          </cell>
          <cell r="V76">
            <v>-4.8020172009382425E-2</v>
          </cell>
          <cell r="W76">
            <v>67.019513682564508</v>
          </cell>
          <cell r="X76">
            <v>1.030883502736516E-4</v>
          </cell>
          <cell r="Y76">
            <v>0.20532251759186862</v>
          </cell>
          <cell r="Z76">
            <v>1.0799999999999996E-3</v>
          </cell>
          <cell r="AA76">
            <v>0.78920000000000023</v>
          </cell>
        </row>
        <row r="77">
          <cell r="A77" t="str">
            <v>Dowfrost HD, 60 vol%</v>
          </cell>
          <cell r="B77" t="str">
            <v>Dow Chemical Co.</v>
          </cell>
          <cell r="C77" t="str">
            <v>Propylene Glycol, water, and inhibitors</v>
          </cell>
          <cell r="D77">
            <v>-30</v>
          </cell>
          <cell r="E77">
            <v>150</v>
          </cell>
          <cell r="F77"/>
          <cell r="G77"/>
          <cell r="H77"/>
          <cell r="I77"/>
          <cell r="J77">
            <v>220</v>
          </cell>
          <cell r="K77">
            <v>277.59444444444443</v>
          </cell>
          <cell r="L77">
            <v>333.15</v>
          </cell>
          <cell r="M77">
            <v>-9.7281323068168035</v>
          </cell>
          <cell r="N77">
            <v>2622.8652398566282</v>
          </cell>
          <cell r="O77">
            <v>-74.13742459937103</v>
          </cell>
          <cell r="P77">
            <v>-4.1633111831898653</v>
          </cell>
          <cell r="Q77">
            <v>853.4919228484863</v>
          </cell>
          <cell r="R77">
            <v>-161.10340251747084</v>
          </cell>
          <cell r="S77">
            <v>-2.4714493489467344</v>
          </cell>
          <cell r="T77">
            <v>352.16989323992908</v>
          </cell>
          <cell r="U77">
            <v>-225.41840785118356</v>
          </cell>
          <cell r="V77">
            <v>-4.5295714285714106E-2</v>
          </cell>
          <cell r="W77">
            <v>67.287314285714274</v>
          </cell>
          <cell r="X77">
            <v>1.1957142857142809E-4</v>
          </cell>
          <cell r="Y77">
            <v>0.18172571428571432</v>
          </cell>
          <cell r="Z77">
            <v>1.2805714285714278E-3</v>
          </cell>
          <cell r="AA77">
            <v>0.72796571428571433</v>
          </cell>
        </row>
        <row r="78">
          <cell r="A78" t="str">
            <v>Dowfrost HD, 70 vol%</v>
          </cell>
          <cell r="B78" t="str">
            <v>Dow Chemical Co.</v>
          </cell>
          <cell r="C78" t="str">
            <v>Propylene Glycol, water, and inhibitors</v>
          </cell>
          <cell r="D78">
            <v>-30</v>
          </cell>
          <cell r="E78">
            <v>150</v>
          </cell>
          <cell r="F78"/>
          <cell r="G78"/>
          <cell r="H78"/>
          <cell r="I78"/>
          <cell r="J78">
            <v>220</v>
          </cell>
          <cell r="K78">
            <v>277.59444444444443</v>
          </cell>
          <cell r="L78">
            <v>333.15</v>
          </cell>
          <cell r="M78">
            <v>-7.9769080468681741</v>
          </cell>
          <cell r="N78">
            <v>2042.6838361428693</v>
          </cell>
          <cell r="O78">
            <v>-100.1197417471779</v>
          </cell>
          <cell r="P78">
            <v>-4.082312811411434</v>
          </cell>
          <cell r="Q78">
            <v>896.81527325697573</v>
          </cell>
          <cell r="R78">
            <v>-159.82677820317338</v>
          </cell>
          <cell r="S78">
            <v>-2.7648887655426271</v>
          </cell>
          <cell r="T78">
            <v>488.95287918237398</v>
          </cell>
          <cell r="U78">
            <v>-206.37356630099404</v>
          </cell>
          <cell r="V78">
            <v>-4.8021428571428507E-2</v>
          </cell>
          <cell r="W78">
            <v>67.78057142857142</v>
          </cell>
          <cell r="X78">
            <v>4.3714285714285925E-5</v>
          </cell>
          <cell r="Y78">
            <v>0.16457714285714287</v>
          </cell>
          <cell r="Z78">
            <v>1.482428571428571E-3</v>
          </cell>
          <cell r="AA78">
            <v>0.65923999999999994</v>
          </cell>
        </row>
        <row r="79">
          <cell r="A79" t="str">
            <v>Dowfrost, 10 vol%</v>
          </cell>
          <cell r="B79" t="str">
            <v>Dow Chemical Co.</v>
          </cell>
          <cell r="C79" t="str">
            <v>Propylene Glycol, water, and inhibitors</v>
          </cell>
          <cell r="D79">
            <v>0</v>
          </cell>
          <cell r="E79">
            <v>120</v>
          </cell>
          <cell r="F79"/>
          <cell r="G79"/>
          <cell r="H79"/>
          <cell r="I79"/>
          <cell r="J79">
            <v>250</v>
          </cell>
          <cell r="K79">
            <v>305.37222222222221</v>
          </cell>
          <cell r="L79">
            <v>344.26111111111106</v>
          </cell>
          <cell r="M79">
            <v>-2.9362644199924475</v>
          </cell>
          <cell r="N79">
            <v>402.32553872340651</v>
          </cell>
          <cell r="O79">
            <v>-170.59226179601501</v>
          </cell>
          <cell r="P79">
            <v>-3.7778596405909384</v>
          </cell>
          <cell r="Q79">
            <v>661.55469684581294</v>
          </cell>
          <cell r="R79">
            <v>-132.49131317670782</v>
          </cell>
          <cell r="S79">
            <v>-3.4536389084836681</v>
          </cell>
          <cell r="T79">
            <v>493.1236904323535</v>
          </cell>
          <cell r="U79">
            <v>-168.12741852279052</v>
          </cell>
          <cell r="V79">
            <v>-3.0760948905109813E-2</v>
          </cell>
          <cell r="W79">
            <v>63.624635036496365</v>
          </cell>
          <cell r="X79">
            <v>5.4656934306568936E-4</v>
          </cell>
          <cell r="Y79">
            <v>0.30281897810219005</v>
          </cell>
          <cell r="Z79">
            <v>3.6032846715328414E-4</v>
          </cell>
          <cell r="AA79">
            <v>0.96681094890510955</v>
          </cell>
        </row>
        <row r="80">
          <cell r="A80" t="str">
            <v>Dowfrost, 20 vol%</v>
          </cell>
          <cell r="B80" t="str">
            <v>Dow Chemical Co.</v>
          </cell>
          <cell r="C80" t="str">
            <v>Propylene Glycol, water, and inhibitors</v>
          </cell>
          <cell r="D80">
            <v>-5</v>
          </cell>
          <cell r="E80">
            <v>120</v>
          </cell>
          <cell r="F80"/>
          <cell r="G80"/>
          <cell r="H80"/>
          <cell r="I80"/>
          <cell r="J80">
            <v>245</v>
          </cell>
          <cell r="K80">
            <v>288.70555555555552</v>
          </cell>
          <cell r="L80">
            <v>333.15</v>
          </cell>
          <cell r="M80">
            <v>-3.9645082199445421</v>
          </cell>
          <cell r="N80">
            <v>719.7690446292271</v>
          </cell>
          <cell r="O80">
            <v>-138.94322686068125</v>
          </cell>
          <cell r="P80">
            <v>-3.7498050665890856</v>
          </cell>
          <cell r="Q80">
            <v>655.47610013983001</v>
          </cell>
          <cell r="R80">
            <v>-145.94298608274838</v>
          </cell>
          <cell r="S80">
            <v>-3.2431317334084322</v>
          </cell>
          <cell r="T80">
            <v>477.01363460456179</v>
          </cell>
          <cell r="U80">
            <v>-173.86247415791513</v>
          </cell>
          <cell r="V80">
            <v>-3.457773722627696E-2</v>
          </cell>
          <cell r="W80">
            <v>64.379408759124075</v>
          </cell>
          <cell r="X80">
            <v>4.3905109489051426E-4</v>
          </cell>
          <cell r="Y80">
            <v>0.27530170316301683</v>
          </cell>
          <cell r="Z80">
            <v>5.2653284671532916E-4</v>
          </cell>
          <cell r="AA80">
            <v>0.9387510948905109</v>
          </cell>
        </row>
        <row r="81">
          <cell r="A81" t="str">
            <v>Dowfrost, 30 vol%</v>
          </cell>
          <cell r="B81" t="str">
            <v>Dow Chemical Co.</v>
          </cell>
          <cell r="C81" t="str">
            <v>Propylene Glycol, water, and inhibitors</v>
          </cell>
          <cell r="D81">
            <v>-10</v>
          </cell>
          <cell r="E81">
            <v>120</v>
          </cell>
          <cell r="F81"/>
          <cell r="G81"/>
          <cell r="H81"/>
          <cell r="I81"/>
          <cell r="J81">
            <v>240</v>
          </cell>
          <cell r="K81">
            <v>288.70555555555552</v>
          </cell>
          <cell r="L81">
            <v>333.15</v>
          </cell>
          <cell r="M81">
            <v>-4.7211684081454068</v>
          </cell>
          <cell r="N81">
            <v>932.02468160470698</v>
          </cell>
          <cell r="O81">
            <v>-133.56571628473333</v>
          </cell>
          <cell r="P81">
            <v>-3.4218752696060264</v>
          </cell>
          <cell r="Q81">
            <v>562.57766347059089</v>
          </cell>
          <cell r="R81">
            <v>-169.22043918685276</v>
          </cell>
          <cell r="S81">
            <v>-2.6099983448059794</v>
          </cell>
          <cell r="T81">
            <v>317.95259465384885</v>
          </cell>
          <cell r="U81">
            <v>-211.79167049995519</v>
          </cell>
          <cell r="V81">
            <v>-3.5283725305738131E-2</v>
          </cell>
          <cell r="W81">
            <v>64.848378174976474</v>
          </cell>
          <cell r="X81">
            <v>4.0546566321731032E-4</v>
          </cell>
          <cell r="Y81">
            <v>0.24600272812793977</v>
          </cell>
          <cell r="Z81">
            <v>6.5768579492003776E-4</v>
          </cell>
          <cell r="AA81">
            <v>0.90601674506114771</v>
          </cell>
        </row>
        <row r="82">
          <cell r="A82" t="str">
            <v>Dowfrost, 40 vol%</v>
          </cell>
          <cell r="B82" t="str">
            <v>Dow Chemical Co.</v>
          </cell>
          <cell r="C82" t="str">
            <v>Propylene Glycol, water, and inhibitors</v>
          </cell>
          <cell r="D82">
            <v>-15</v>
          </cell>
          <cell r="E82">
            <v>120</v>
          </cell>
          <cell r="F82"/>
          <cell r="G82"/>
          <cell r="H82"/>
          <cell r="I82"/>
          <cell r="J82">
            <v>235</v>
          </cell>
          <cell r="K82">
            <v>277.59444444444443</v>
          </cell>
          <cell r="L82">
            <v>333.15</v>
          </cell>
          <cell r="M82">
            <v>-4.6383568241605513</v>
          </cell>
          <cell r="N82">
            <v>883.0890851047119</v>
          </cell>
          <cell r="O82">
            <v>-149.6127434006799</v>
          </cell>
          <cell r="P82">
            <v>-3.4997466257405758</v>
          </cell>
          <cell r="Q82">
            <v>605.82517561987243</v>
          </cell>
          <cell r="R82">
            <v>-172.44402300651444</v>
          </cell>
          <cell r="S82">
            <v>-2.713090094535878</v>
          </cell>
          <cell r="T82">
            <v>382.31796230125815</v>
          </cell>
          <cell r="U82">
            <v>-204.98944424567139</v>
          </cell>
          <cell r="V82">
            <v>-3.8511940298507033E-2</v>
          </cell>
          <cell r="W82">
            <v>65.338850746268633</v>
          </cell>
          <cell r="X82">
            <v>3.071641791044779E-4</v>
          </cell>
          <cell r="Y82">
            <v>0.22254669509594888</v>
          </cell>
          <cell r="Z82">
            <v>7.8626865671641922E-4</v>
          </cell>
          <cell r="AA82">
            <v>0.8690712153518122</v>
          </cell>
        </row>
        <row r="83">
          <cell r="A83" t="str">
            <v>Dowfrost, 50 vol%</v>
          </cell>
          <cell r="B83" t="str">
            <v>Dow Chemical Co.</v>
          </cell>
          <cell r="C83" t="str">
            <v>Propylene Glycol, water, and inhibitors</v>
          </cell>
          <cell r="D83">
            <v>-30</v>
          </cell>
          <cell r="E83">
            <v>120</v>
          </cell>
          <cell r="F83"/>
          <cell r="G83"/>
          <cell r="H83"/>
          <cell r="I83"/>
          <cell r="J83">
            <v>220</v>
          </cell>
          <cell r="K83">
            <v>272.03888888888889</v>
          </cell>
          <cell r="L83">
            <v>327.59444444444443</v>
          </cell>
          <cell r="M83">
            <v>-5.6009415990277756</v>
          </cell>
          <cell r="N83">
            <v>1222.3761206610884</v>
          </cell>
          <cell r="O83">
            <v>-129.56296696809352</v>
          </cell>
          <cell r="P83">
            <v>-3.9526008482756598</v>
          </cell>
          <cell r="Q83">
            <v>787.8531554700013</v>
          </cell>
          <cell r="R83">
            <v>-158.37103377600323</v>
          </cell>
          <cell r="S83">
            <v>-3.1161692831996834</v>
          </cell>
          <cell r="T83">
            <v>535.5255077247773</v>
          </cell>
          <cell r="U83">
            <v>-187.37760793536529</v>
          </cell>
          <cell r="V83">
            <v>-4.0714256893073154E-2</v>
          </cell>
          <cell r="W83">
            <v>65.76340013449898</v>
          </cell>
          <cell r="X83">
            <v>2.4645595158036298E-4</v>
          </cell>
          <cell r="Y83">
            <v>0.2002301277740417</v>
          </cell>
          <cell r="Z83">
            <v>9.2318090114324326E-4</v>
          </cell>
          <cell r="AA83">
            <v>0.82572817753866834</v>
          </cell>
        </row>
        <row r="84">
          <cell r="A84" t="str">
            <v>Dowfrost, 60 vol%</v>
          </cell>
          <cell r="B84" t="str">
            <v>Dow Chemical Co.</v>
          </cell>
          <cell r="C84" t="str">
            <v>Propylene Glycol, water, and inhibitors</v>
          </cell>
          <cell r="D84">
            <v>-30</v>
          </cell>
          <cell r="E84">
            <v>120</v>
          </cell>
          <cell r="F84"/>
          <cell r="G84"/>
          <cell r="H84"/>
          <cell r="I84"/>
          <cell r="J84">
            <v>220</v>
          </cell>
          <cell r="K84">
            <v>266.48333333333329</v>
          </cell>
          <cell r="L84">
            <v>299.81666666666666</v>
          </cell>
          <cell r="M84">
            <v>-12.132979651749562</v>
          </cell>
          <cell r="N84">
            <v>3532.8320877997617</v>
          </cell>
          <cell r="O84">
            <v>-46.104192339723078</v>
          </cell>
          <cell r="P84">
            <v>-5.3436406275999051</v>
          </cell>
          <cell r="Q84">
            <v>1186.8009096298044</v>
          </cell>
          <cell r="R84">
            <v>-138.06060418265997</v>
          </cell>
          <cell r="S84">
            <v>-3.1449546896826353</v>
          </cell>
          <cell r="T84">
            <v>562.85734481523275</v>
          </cell>
          <cell r="U84">
            <v>-190.27497908575214</v>
          </cell>
          <cell r="V84">
            <v>-4.1918069179142821E-2</v>
          </cell>
          <cell r="W84">
            <v>66.005822405782126</v>
          </cell>
          <cell r="X84">
            <v>1.6169334021683097E-4</v>
          </cell>
          <cell r="Y84">
            <v>0.18106350025813109</v>
          </cell>
          <cell r="Z84">
            <v>1.0525400103252465E-3</v>
          </cell>
          <cell r="AA84">
            <v>0.77699525038719663</v>
          </cell>
        </row>
        <row r="85">
          <cell r="A85" t="str">
            <v>Dowfrost, 70 vol%</v>
          </cell>
          <cell r="B85" t="str">
            <v>Dow Chemical Co.</v>
          </cell>
          <cell r="C85" t="str">
            <v>Propylene Glycol, water, and inhibitors</v>
          </cell>
          <cell r="D85">
            <v>-30</v>
          </cell>
          <cell r="E85">
            <v>120</v>
          </cell>
          <cell r="F85"/>
          <cell r="G85"/>
          <cell r="H85"/>
          <cell r="I85"/>
          <cell r="J85">
            <v>220</v>
          </cell>
          <cell r="K85">
            <v>266.48333333333329</v>
          </cell>
          <cell r="L85">
            <v>299.81666666666666</v>
          </cell>
          <cell r="M85">
            <v>-9.2560183119035031</v>
          </cell>
          <cell r="N85">
            <v>2441.7674215896482</v>
          </cell>
          <cell r="O85">
            <v>-86.272271757392318</v>
          </cell>
          <cell r="P85">
            <v>-5.066073242515742</v>
          </cell>
          <cell r="Q85">
            <v>1173.1376564679717</v>
          </cell>
          <cell r="R85">
            <v>-141.14197846328463</v>
          </cell>
          <cell r="S85">
            <v>-3.1965025406802332</v>
          </cell>
          <cell r="T85">
            <v>635.71456789232195</v>
          </cell>
          <cell r="U85">
            <v>-184.72979869754141</v>
          </cell>
          <cell r="V85">
            <v>-4.6153438661710018E-2</v>
          </cell>
          <cell r="W85">
            <v>66.349066914498152</v>
          </cell>
          <cell r="X85">
            <v>5.8508364312268222E-5</v>
          </cell>
          <cell r="Y85">
            <v>0.16436821561338286</v>
          </cell>
          <cell r="Z85">
            <v>1.1912035315985144E-3</v>
          </cell>
          <cell r="AA85">
            <v>0.72132657992565052</v>
          </cell>
        </row>
        <row r="86">
          <cell r="A86" t="str">
            <v>Dowfrost, 80 vol%</v>
          </cell>
          <cell r="B86" t="str">
            <v>Dow Chemical Co.</v>
          </cell>
          <cell r="C86" t="str">
            <v>Propylene Glycol, water, and inhibitors</v>
          </cell>
          <cell r="D86">
            <v>-30</v>
          </cell>
          <cell r="E86">
            <v>120</v>
          </cell>
          <cell r="F86"/>
          <cell r="G86"/>
          <cell r="H86"/>
          <cell r="I86"/>
          <cell r="J86">
            <v>220</v>
          </cell>
          <cell r="K86">
            <v>266.48333333333329</v>
          </cell>
          <cell r="L86">
            <v>299.81666666666666</v>
          </cell>
          <cell r="M86">
            <v>-23.639056152594648</v>
          </cell>
          <cell r="N86">
            <v>10110.572345437453</v>
          </cell>
          <cell r="O86">
            <v>88.952870868750239</v>
          </cell>
          <cell r="P86">
            <v>-6.1326761985401479</v>
          </cell>
          <cell r="Q86">
            <v>1523.5448187275497</v>
          </cell>
          <cell r="R86">
            <v>-127.20885887174452</v>
          </cell>
          <cell r="S86">
            <v>-3.1234705694145761</v>
          </cell>
          <cell r="T86">
            <v>637.02232853573071</v>
          </cell>
          <cell r="U86">
            <v>-190.31415070958374</v>
          </cell>
          <cell r="V86">
            <v>-5.0997211895910555E-2</v>
          </cell>
          <cell r="W86">
            <v>66.759405204460947</v>
          </cell>
          <cell r="X86">
            <v>-1.3048327137546584E-5</v>
          </cell>
          <cell r="Y86">
            <v>0.14898364312267656</v>
          </cell>
          <cell r="Z86">
            <v>1.351421933085503E-3</v>
          </cell>
          <cell r="AA86">
            <v>0.66079665427509282</v>
          </cell>
        </row>
        <row r="87">
          <cell r="A87" t="str">
            <v>Dowfrost, 90 vol%</v>
          </cell>
          <cell r="B87" t="str">
            <v>Dow Chemical Co.</v>
          </cell>
          <cell r="C87" t="str">
            <v>Propylene Glycol, water, and inhibitors</v>
          </cell>
          <cell r="D87">
            <v>-30</v>
          </cell>
          <cell r="E87">
            <v>120</v>
          </cell>
          <cell r="F87"/>
          <cell r="G87"/>
          <cell r="H87"/>
          <cell r="I87"/>
          <cell r="J87">
            <v>220</v>
          </cell>
          <cell r="K87">
            <v>266.48333333333329</v>
          </cell>
          <cell r="L87">
            <v>299.81666666666666</v>
          </cell>
          <cell r="M87">
            <v>-6.8715158676374575</v>
          </cell>
          <cell r="N87">
            <v>1789.938697924958</v>
          </cell>
          <cell r="O87">
            <v>-119.7544790242918</v>
          </cell>
          <cell r="P87">
            <v>-4.9236266128457844</v>
          </cell>
          <cell r="Q87">
            <v>1267.423020242448</v>
          </cell>
          <cell r="R87">
            <v>-142.84516284064767</v>
          </cell>
          <cell r="S87">
            <v>-3.7203233859535478</v>
          </cell>
          <cell r="T87">
            <v>907.11078206526679</v>
          </cell>
          <cell r="U87">
            <v>-167.79493839618908</v>
          </cell>
          <cell r="V87">
            <v>-5.099721189591077E-2</v>
          </cell>
          <cell r="W87">
            <v>66.62940520446098</v>
          </cell>
          <cell r="X87">
            <v>-8.3308550185873581E-5</v>
          </cell>
          <cell r="Y87">
            <v>0.1349724907063197</v>
          </cell>
          <cell r="Z87">
            <v>1.4929042750929365E-3</v>
          </cell>
          <cell r="AA87">
            <v>0.59206375464684013</v>
          </cell>
        </row>
        <row r="88">
          <cell r="A88" t="str">
            <v>Dowtherm 4000, 10 vol%</v>
          </cell>
          <cell r="B88" t="str">
            <v>Dow Chemical Co.</v>
          </cell>
          <cell r="C88" t="str">
            <v>Ethylene Glycol, water, and inhibitors</v>
          </cell>
          <cell r="D88">
            <v>0</v>
          </cell>
          <cell r="E88">
            <v>160</v>
          </cell>
          <cell r="F88"/>
          <cell r="G88"/>
          <cell r="H88"/>
          <cell r="I88"/>
          <cell r="J88">
            <v>250</v>
          </cell>
          <cell r="K88">
            <v>327.59444444444443</v>
          </cell>
          <cell r="L88">
            <v>383.15</v>
          </cell>
          <cell r="M88">
            <v>-3.5001189397360695</v>
          </cell>
          <cell r="N88">
            <v>574.40760348998413</v>
          </cell>
          <cell r="O88">
            <v>-137.52435798104369</v>
          </cell>
          <cell r="P88">
            <v>-3.912521063431329</v>
          </cell>
          <cell r="Q88">
            <v>799.99895289317328</v>
          </cell>
          <cell r="R88">
            <v>-94.663192232995513</v>
          </cell>
          <cell r="S88">
            <v>-3.6709684501322473</v>
          </cell>
          <cell r="T88">
            <v>650.81070363701508</v>
          </cell>
          <cell r="U88">
            <v>-126.06845943257143</v>
          </cell>
          <cell r="V88">
            <v>-2.9635714285714064E-2</v>
          </cell>
          <cell r="W88">
            <v>64.078857142857132</v>
          </cell>
          <cell r="X88">
            <v>6.0000000000000353E-4</v>
          </cell>
          <cell r="Y88">
            <v>0.30152380952380936</v>
          </cell>
          <cell r="Z88">
            <v>4.1999999999999395E-4</v>
          </cell>
          <cell r="AA88">
            <v>0.93946666666666689</v>
          </cell>
        </row>
        <row r="89">
          <cell r="A89" t="str">
            <v>Dowtherm 4000, 20 vol%</v>
          </cell>
          <cell r="B89" t="str">
            <v>Dow Chemical Co.</v>
          </cell>
          <cell r="C89" t="str">
            <v>Ethylene Glycol, water, and inhibitors</v>
          </cell>
          <cell r="D89">
            <v>-5</v>
          </cell>
          <cell r="E89">
            <v>160</v>
          </cell>
          <cell r="F89"/>
          <cell r="G89"/>
          <cell r="H89"/>
          <cell r="I89"/>
          <cell r="J89">
            <v>245</v>
          </cell>
          <cell r="K89">
            <v>322.03888888888889</v>
          </cell>
          <cell r="L89">
            <v>377.59444444444443</v>
          </cell>
          <cell r="M89">
            <v>-2.918556583111644</v>
          </cell>
          <cell r="N89">
            <v>456.13151170455387</v>
          </cell>
          <cell r="O89">
            <v>-159.89892396373111</v>
          </cell>
          <cell r="P89">
            <v>-3.8400912130146461</v>
          </cell>
          <cell r="Q89">
            <v>778.09583383198617</v>
          </cell>
          <cell r="R89">
            <v>-113.69834257247901</v>
          </cell>
          <cell r="S89">
            <v>-9.8228844240704927</v>
          </cell>
          <cell r="T89">
            <v>6845.2309747119589</v>
          </cell>
          <cell r="U89">
            <v>388.83837845624663</v>
          </cell>
          <cell r="V89">
            <v>-3.2700000000000007E-2</v>
          </cell>
          <cell r="W89">
            <v>65.334380952380954</v>
          </cell>
          <cell r="X89">
            <v>5.1642857142857371E-4</v>
          </cell>
          <cell r="Y89">
            <v>0.27560952380952369</v>
          </cell>
          <cell r="Z89">
            <v>5.5714285714286E-4</v>
          </cell>
          <cell r="AA89">
            <v>0.89790476190476187</v>
          </cell>
        </row>
        <row r="90">
          <cell r="A90" t="str">
            <v>Dowtherm 4000, 30 vol%</v>
          </cell>
          <cell r="B90" t="str">
            <v>Dow Chemical Co.</v>
          </cell>
          <cell r="C90" t="str">
            <v>Ethylene Glycol, water, and inhibitors</v>
          </cell>
          <cell r="D90">
            <v>-10</v>
          </cell>
          <cell r="E90">
            <v>160</v>
          </cell>
          <cell r="F90"/>
          <cell r="G90"/>
          <cell r="H90"/>
          <cell r="I90"/>
          <cell r="J90">
            <v>240</v>
          </cell>
          <cell r="K90">
            <v>305.37222222222221</v>
          </cell>
          <cell r="L90">
            <v>360.92777777777775</v>
          </cell>
          <cell r="M90">
            <v>-3.4292076726611409</v>
          </cell>
          <cell r="N90">
            <v>638.89244682281128</v>
          </cell>
          <cell r="O90">
            <v>-141.52051033618866</v>
          </cell>
          <cell r="P90">
            <v>-3.8230148867388092</v>
          </cell>
          <cell r="Q90">
            <v>770.52454483009808</v>
          </cell>
          <cell r="R90">
            <v>-125.88905857847332</v>
          </cell>
          <cell r="S90">
            <v>-3.9787064327889441</v>
          </cell>
          <cell r="T90">
            <v>828.00581828795828</v>
          </cell>
          <cell r="U90">
            <v>-119.80639752588078</v>
          </cell>
          <cell r="V90">
            <v>-3.4256735751295841E-2</v>
          </cell>
          <cell r="W90">
            <v>66.418789291882575</v>
          </cell>
          <cell r="X90">
            <v>4.7860103626942696E-4</v>
          </cell>
          <cell r="Y90">
            <v>0.24916649395509513</v>
          </cell>
          <cell r="Z90">
            <v>6.8626943005180871E-4</v>
          </cell>
          <cell r="AA90">
            <v>0.85328842832469809</v>
          </cell>
        </row>
        <row r="91">
          <cell r="A91" t="str">
            <v>Dowtherm 4000, 40 vol%</v>
          </cell>
          <cell r="B91" t="str">
            <v>Dow Chemical Co.</v>
          </cell>
          <cell r="C91" t="str">
            <v>Ethylene Glycol, water, and inhibitors</v>
          </cell>
          <cell r="D91">
            <v>-15</v>
          </cell>
          <cell r="E91">
            <v>160</v>
          </cell>
          <cell r="F91"/>
          <cell r="G91"/>
          <cell r="H91"/>
          <cell r="I91"/>
          <cell r="J91">
            <v>235</v>
          </cell>
          <cell r="K91">
            <v>283.14999999999998</v>
          </cell>
          <cell r="L91">
            <v>349.81666666666666</v>
          </cell>
          <cell r="M91">
            <v>-2.3464583737101159</v>
          </cell>
          <cell r="N91">
            <v>421.46668494771876</v>
          </cell>
          <cell r="O91">
            <v>-170.53976147690028</v>
          </cell>
          <cell r="P91">
            <v>-3.777091418330869</v>
          </cell>
          <cell r="Q91">
            <v>817.09024639905101</v>
          </cell>
          <cell r="R91">
            <v>-125.20738251345743</v>
          </cell>
          <cell r="S91">
            <v>-4.4751889128471696</v>
          </cell>
          <cell r="T91">
            <v>1074.0075358537144</v>
          </cell>
          <cell r="U91">
            <v>-102.11702271050103</v>
          </cell>
          <cell r="V91">
            <v>-3.6648788115715848E-2</v>
          </cell>
          <cell r="W91">
            <v>67.477715402658347</v>
          </cell>
          <cell r="X91">
            <v>4.0306489444878654E-4</v>
          </cell>
          <cell r="Y91">
            <v>0.22875121188428471</v>
          </cell>
          <cell r="Z91">
            <v>8.1949960906958091E-4</v>
          </cell>
          <cell r="AA91">
            <v>0.80633041438623954</v>
          </cell>
        </row>
        <row r="92">
          <cell r="A92" t="str">
            <v>Dowtherm 4000, 50 vol%</v>
          </cell>
          <cell r="B92" t="str">
            <v>Dow Chemical Co.</v>
          </cell>
          <cell r="C92" t="str">
            <v>Ethylene Glycol, water, and inhibitors</v>
          </cell>
          <cell r="D92">
            <v>-25</v>
          </cell>
          <cell r="E92">
            <v>160</v>
          </cell>
          <cell r="F92"/>
          <cell r="G92"/>
          <cell r="H92"/>
          <cell r="I92"/>
          <cell r="J92">
            <v>225</v>
          </cell>
          <cell r="K92">
            <v>288.70555555555552</v>
          </cell>
          <cell r="L92">
            <v>360.92777777777775</v>
          </cell>
          <cell r="M92">
            <v>-2.7471841262598469</v>
          </cell>
          <cell r="N92">
            <v>559.27516940027544</v>
          </cell>
          <cell r="O92">
            <v>-157.49149767352708</v>
          </cell>
          <cell r="P92">
            <v>-4.3142603860167599</v>
          </cell>
          <cell r="Q92">
            <v>1041.8944252900958</v>
          </cell>
          <cell r="R92">
            <v>-109.97418729007214</v>
          </cell>
          <cell r="S92">
            <v>-5.4499320963225157</v>
          </cell>
          <cell r="T92">
            <v>1696.917549861211</v>
          </cell>
          <cell r="U92">
            <v>-39.992474195238941</v>
          </cell>
          <cell r="V92">
            <v>-3.7735040745052469E-2</v>
          </cell>
          <cell r="W92">
            <v>68.388351571594882</v>
          </cell>
          <cell r="X92">
            <v>3.5193247962747354E-4</v>
          </cell>
          <cell r="Y92">
            <v>0.20871117578579743</v>
          </cell>
          <cell r="Z92">
            <v>9.4625727590221106E-4</v>
          </cell>
          <cell r="AA92">
            <v>0.75707293364377182</v>
          </cell>
        </row>
        <row r="93">
          <cell r="A93" t="str">
            <v>Dowtherm 4000, 60 vol%</v>
          </cell>
          <cell r="B93" t="str">
            <v>Dow Chemical Co.</v>
          </cell>
          <cell r="C93" t="str">
            <v>Ethylene Glycol, water, and inhibitors</v>
          </cell>
          <cell r="D93">
            <v>-30</v>
          </cell>
          <cell r="E93">
            <v>160</v>
          </cell>
          <cell r="F93"/>
          <cell r="G93"/>
          <cell r="H93"/>
          <cell r="I93"/>
          <cell r="J93">
            <v>220</v>
          </cell>
          <cell r="K93">
            <v>288.70555555555552</v>
          </cell>
          <cell r="L93">
            <v>360.92777777777775</v>
          </cell>
          <cell r="M93">
            <v>-4.6975789796645877</v>
          </cell>
          <cell r="N93">
            <v>1134.6112648337933</v>
          </cell>
          <cell r="O93">
            <v>-115.29393852764143</v>
          </cell>
          <cell r="P93">
            <v>-4.4987016538925673</v>
          </cell>
          <cell r="Q93">
            <v>1074.4022128616596</v>
          </cell>
          <cell r="R93">
            <v>-119.34838456432492</v>
          </cell>
          <cell r="S93">
            <v>-4.8681742113200492</v>
          </cell>
          <cell r="T93">
            <v>1309.9613230742154</v>
          </cell>
          <cell r="U93">
            <v>-88.975585962243102</v>
          </cell>
          <cell r="V93">
            <v>-3.9532963549921016E-2</v>
          </cell>
          <cell r="W93">
            <v>69.301985736925516</v>
          </cell>
          <cell r="X93">
            <v>2.8630744849445302E-4</v>
          </cell>
          <cell r="Y93">
            <v>0.19267099841521396</v>
          </cell>
          <cell r="Z93">
            <v>1.0709191759112504E-3</v>
          </cell>
          <cell r="AA93">
            <v>0.70583597464342329</v>
          </cell>
        </row>
        <row r="94">
          <cell r="A94" t="str">
            <v>Dowtherm 4000, 70 vol%</v>
          </cell>
          <cell r="B94" t="str">
            <v>Dow Chemical Co.</v>
          </cell>
          <cell r="C94" t="str">
            <v>Ethylene Glycol, water, and inhibitors</v>
          </cell>
          <cell r="D94">
            <v>-30</v>
          </cell>
          <cell r="E94">
            <v>160</v>
          </cell>
          <cell r="F94"/>
          <cell r="G94"/>
          <cell r="H94"/>
          <cell r="I94"/>
          <cell r="J94">
            <v>220</v>
          </cell>
          <cell r="K94">
            <v>288.70555555555552</v>
          </cell>
          <cell r="L94">
            <v>360.92777777777775</v>
          </cell>
          <cell r="M94">
            <v>-6.7850552560250108</v>
          </cell>
          <cell r="N94">
            <v>1961.9421310199134</v>
          </cell>
          <cell r="O94">
            <v>-70.200706725684711</v>
          </cell>
          <cell r="P94">
            <v>-4.6642099079541985</v>
          </cell>
          <cell r="Q94">
            <v>1151.3711771690714</v>
          </cell>
          <cell r="R94">
            <v>-120.82058471160138</v>
          </cell>
          <cell r="S94">
            <v>-4.5369831884821945</v>
          </cell>
          <cell r="T94">
            <v>1072.4727893807458</v>
          </cell>
          <cell r="U94">
            <v>-131.1783864868479</v>
          </cell>
          <cell r="V94">
            <v>-4.1734990706319468E-2</v>
          </cell>
          <cell r="W94">
            <v>70.163964684014857</v>
          </cell>
          <cell r="X94">
            <v>2.1960501858736144E-4</v>
          </cell>
          <cell r="Y94">
            <v>0.17880092936802972</v>
          </cell>
          <cell r="Z94">
            <v>1.1912035315985144E-3</v>
          </cell>
          <cell r="AA94">
            <v>0.65132657992565046</v>
          </cell>
        </row>
        <row r="95">
          <cell r="A95" t="str">
            <v>Dowtherm 4000, 80 vol%</v>
          </cell>
          <cell r="B95" t="str">
            <v>Dow Chemical Co.</v>
          </cell>
          <cell r="C95" t="str">
            <v>Ethylene Glycol, water, and inhibitors</v>
          </cell>
          <cell r="D95">
            <v>-30</v>
          </cell>
          <cell r="E95">
            <v>160</v>
          </cell>
          <cell r="F95"/>
          <cell r="G95"/>
          <cell r="H95"/>
          <cell r="I95"/>
          <cell r="J95">
            <v>220</v>
          </cell>
          <cell r="K95">
            <v>288.70555555555552</v>
          </cell>
          <cell r="L95">
            <v>360.92777777777775</v>
          </cell>
          <cell r="M95">
            <v>-7.2947531749611496</v>
          </cell>
          <cell r="N95">
            <v>2240.7701121673172</v>
          </cell>
          <cell r="O95">
            <v>-59.677363291515839</v>
          </cell>
          <cell r="P95">
            <v>-5.0978476115790938</v>
          </cell>
          <cell r="Q95">
            <v>1383.309305101754</v>
          </cell>
          <cell r="R95">
            <v>-106.37719118323511</v>
          </cell>
          <cell r="S95">
            <v>-5.124461974396505</v>
          </cell>
          <cell r="T95">
            <v>1426.7510263618065</v>
          </cell>
          <cell r="U95">
            <v>-99.662768673060413</v>
          </cell>
          <cell r="V95">
            <v>-4.3334579439252272E-2</v>
          </cell>
          <cell r="W95">
            <v>70.979260347129497</v>
          </cell>
          <cell r="X95">
            <v>1.6794392523364476E-4</v>
          </cell>
          <cell r="Y95">
            <v>0.16643671562082776</v>
          </cell>
          <cell r="Z95">
            <v>1.305700934579437E-3</v>
          </cell>
          <cell r="AA95">
            <v>0.59499105473965297</v>
          </cell>
        </row>
        <row r="96">
          <cell r="A96" t="str">
            <v>Dowtherm 4000, 90 vol%</v>
          </cell>
          <cell r="B96" t="str">
            <v>Dow Chemical Co.</v>
          </cell>
          <cell r="C96" t="str">
            <v>Ethylene Glycol, water, and inhibitors</v>
          </cell>
          <cell r="D96">
            <v>-25</v>
          </cell>
          <cell r="E96">
            <v>160</v>
          </cell>
          <cell r="F96"/>
          <cell r="G96"/>
          <cell r="H96"/>
          <cell r="I96"/>
          <cell r="J96">
            <v>225</v>
          </cell>
          <cell r="K96">
            <v>288.70555555555552</v>
          </cell>
          <cell r="L96">
            <v>360.92777777777775</v>
          </cell>
          <cell r="M96">
            <v>-3.0567835009166489</v>
          </cell>
          <cell r="N96">
            <v>774.91200993409143</v>
          </cell>
          <cell r="O96">
            <v>-155.26693651638183</v>
          </cell>
          <cell r="P96">
            <v>-4.2574876798374977</v>
          </cell>
          <cell r="Q96">
            <v>1129.7196851458186</v>
          </cell>
          <cell r="R96">
            <v>-127.50031018526161</v>
          </cell>
          <cell r="S96">
            <v>-4.6211359964298921</v>
          </cell>
          <cell r="T96">
            <v>1280.5191091009592</v>
          </cell>
          <cell r="U96">
            <v>-114.8327214502556</v>
          </cell>
          <cell r="V96">
            <v>-4.5067539964476488E-2</v>
          </cell>
          <cell r="W96">
            <v>71.768748223801097</v>
          </cell>
          <cell r="X96">
            <v>1.1865452930728221E-4</v>
          </cell>
          <cell r="Y96">
            <v>0.15609853463587925</v>
          </cell>
          <cell r="Z96">
            <v>1.4211367673179391E-3</v>
          </cell>
          <cell r="AA96">
            <v>0.53616163410301954</v>
          </cell>
        </row>
        <row r="97">
          <cell r="A97" t="str">
            <v>Dowtherm A</v>
          </cell>
          <cell r="B97" t="str">
            <v>Dow Chemical Co.</v>
          </cell>
          <cell r="C97" t="str">
            <v>Diphenyl Oxide/Biphenyl Blend</v>
          </cell>
          <cell r="D97">
            <v>15</v>
          </cell>
          <cell r="E97">
            <v>400</v>
          </cell>
          <cell r="F97"/>
          <cell r="G97">
            <v>7.1227170031071303</v>
          </cell>
          <cell r="H97">
            <v>1895.5338250242894</v>
          </cell>
          <cell r="I97">
            <v>189.51248283883641</v>
          </cell>
          <cell r="J97">
            <v>265</v>
          </cell>
          <cell r="K97">
            <v>373.15</v>
          </cell>
          <cell r="L97">
            <v>513.15</v>
          </cell>
          <cell r="M97">
            <v>-2.5054095061094932</v>
          </cell>
          <cell r="N97">
            <v>527.7920947741444</v>
          </cell>
          <cell r="O97">
            <v>-159.8963863547425</v>
          </cell>
          <cell r="P97">
            <v>-4.1985084017806376</v>
          </cell>
          <cell r="Q97">
            <v>1489.0258114606506</v>
          </cell>
          <cell r="R97">
            <v>-15.902342391155862</v>
          </cell>
          <cell r="S97">
            <v>-11.408257049765618</v>
          </cell>
          <cell r="T97">
            <v>17312.378497394719</v>
          </cell>
          <cell r="U97">
            <v>1183.4294053739395</v>
          </cell>
          <cell r="V97">
            <v>-5.9514932744120445E-2</v>
          </cell>
          <cell r="W97">
            <v>67.912494865319573</v>
          </cell>
          <cell r="X97">
            <v>-9.2415132969221383E-5</v>
          </cell>
          <cell r="Y97">
            <v>8.1977995853505931E-2</v>
          </cell>
          <cell r="Z97">
            <v>6.8356965260579446E-4</v>
          </cell>
          <cell r="AA97">
            <v>0.36113087680248934</v>
          </cell>
        </row>
        <row r="98">
          <cell r="A98" t="str">
            <v>Dowtherm G</v>
          </cell>
          <cell r="B98" t="str">
            <v>Dow Chemical Co.</v>
          </cell>
          <cell r="C98" t="str">
            <v>Mixture of Di- and Tri- Aryl Ethers</v>
          </cell>
          <cell r="D98">
            <v>-7</v>
          </cell>
          <cell r="E98">
            <v>360</v>
          </cell>
          <cell r="F98"/>
          <cell r="G98">
            <v>8.2898712826355556</v>
          </cell>
          <cell r="H98">
            <v>3642.5603084053837</v>
          </cell>
          <cell r="I98">
            <v>365.81568634535728</v>
          </cell>
          <cell r="J98">
            <v>243</v>
          </cell>
          <cell r="K98">
            <v>373.15</v>
          </cell>
          <cell r="L98">
            <v>493.15</v>
          </cell>
          <cell r="M98">
            <v>-1.4686390737692852</v>
          </cell>
          <cell r="N98">
            <v>378.39393716719638</v>
          </cell>
          <cell r="O98">
            <v>-207.86191740877678</v>
          </cell>
          <cell r="P98">
            <v>-4.730919983875201</v>
          </cell>
          <cell r="Q98">
            <v>2153.3971651391962</v>
          </cell>
          <cell r="R98">
            <v>14.739029270253697</v>
          </cell>
          <cell r="S98">
            <v>-6.3925877088696748</v>
          </cell>
          <cell r="T98">
            <v>4086.6793990379024</v>
          </cell>
          <cell r="U98">
            <v>199.32387738565694</v>
          </cell>
          <cell r="V98">
            <v>-5.0882142857142987E-2</v>
          </cell>
          <cell r="W98">
            <v>69.996678571428603</v>
          </cell>
          <cell r="X98">
            <v>-6.6471428571428543E-5</v>
          </cell>
          <cell r="Y98">
            <v>8.0847571428571421E-2</v>
          </cell>
          <cell r="Z98">
            <v>5.5028571428571529E-4</v>
          </cell>
          <cell r="AA98">
            <v>0.36646857142857125</v>
          </cell>
        </row>
        <row r="99">
          <cell r="A99" t="str">
            <v>Dowtherm HT</v>
          </cell>
          <cell r="B99" t="str">
            <v>Dow Chemical Co.</v>
          </cell>
          <cell r="C99" t="str">
            <v>Partially Hydrogenated Terphenyl</v>
          </cell>
          <cell r="D99">
            <v>0</v>
          </cell>
          <cell r="E99">
            <v>345</v>
          </cell>
          <cell r="F99"/>
          <cell r="G99">
            <v>9.9918734106237554</v>
          </cell>
          <cell r="H99">
            <v>5467.2338425912367</v>
          </cell>
          <cell r="I99">
            <v>419.33431874399656</v>
          </cell>
          <cell r="J99">
            <v>250</v>
          </cell>
          <cell r="K99">
            <v>373.15</v>
          </cell>
          <cell r="L99">
            <v>493.15</v>
          </cell>
          <cell r="M99">
            <v>-2.3940429129682097</v>
          </cell>
          <cell r="N99">
            <v>592.84019048749792</v>
          </cell>
          <cell r="O99">
            <v>-204.8353576089367</v>
          </cell>
          <cell r="P99">
            <v>-2.0855910360955994</v>
          </cell>
          <cell r="Q99">
            <v>497.98253022723264</v>
          </cell>
          <cell r="R99">
            <v>-218.19686079822648</v>
          </cell>
          <cell r="S99">
            <v>-2.4783228234870389</v>
          </cell>
          <cell r="T99">
            <v>720.51711628072485</v>
          </cell>
          <cell r="U99">
            <v>-166.21969437466797</v>
          </cell>
          <cell r="V99">
            <v>-4.3694813013073916E-2</v>
          </cell>
          <cell r="W99">
            <v>63.365936677814958</v>
          </cell>
          <cell r="X99">
            <v>-5.8786135603526837E-5</v>
          </cell>
          <cell r="Y99">
            <v>7.4988069119286488E-2</v>
          </cell>
          <cell r="Z99">
            <v>9.1978960170264524E-4</v>
          </cell>
          <cell r="AA99">
            <v>0.33991444816053507</v>
          </cell>
        </row>
        <row r="100">
          <cell r="A100" t="str">
            <v>Dowtherm J</v>
          </cell>
          <cell r="B100" t="str">
            <v>Dow Chemical Co.</v>
          </cell>
          <cell r="C100" t="str">
            <v>Alkylated Aromatic</v>
          </cell>
          <cell r="D100">
            <v>-80</v>
          </cell>
          <cell r="E100">
            <v>315</v>
          </cell>
          <cell r="F100"/>
          <cell r="G100">
            <v>7.1974996388211743</v>
          </cell>
          <cell r="H100">
            <v>1741.0997784360779</v>
          </cell>
          <cell r="I100">
            <v>221.6624510345554</v>
          </cell>
          <cell r="J100">
            <v>170</v>
          </cell>
          <cell r="K100">
            <v>253.15</v>
          </cell>
          <cell r="L100">
            <v>353.15</v>
          </cell>
          <cell r="M100">
            <v>-18.461865001575887</v>
          </cell>
          <cell r="N100">
            <v>15244.799817716932</v>
          </cell>
          <cell r="O100">
            <v>547.11659198936786</v>
          </cell>
          <cell r="P100">
            <v>-3.047268238512518</v>
          </cell>
          <cell r="Q100">
            <v>620.52289335535238</v>
          </cell>
          <cell r="R100">
            <v>-82.444767247543908</v>
          </cell>
          <cell r="S100">
            <v>-3.2670284477721747</v>
          </cell>
          <cell r="T100">
            <v>798.46324287938921</v>
          </cell>
          <cell r="U100">
            <v>-35.291170734074065</v>
          </cell>
          <cell r="V100">
            <v>-6.0500096665055618E-2</v>
          </cell>
          <cell r="W100">
            <v>55.030724918870405</v>
          </cell>
          <cell r="X100">
            <v>-1.2260270662155633E-4</v>
          </cell>
          <cell r="Y100">
            <v>7.662915487122833E-2</v>
          </cell>
          <cell r="Z100">
            <v>9.3706138231029463E-4</v>
          </cell>
          <cell r="AA100">
            <v>0.42292324794586761</v>
          </cell>
        </row>
        <row r="101">
          <cell r="A101" t="str">
            <v>Dowtherm MX</v>
          </cell>
          <cell r="B101" t="str">
            <v>Dow Chemical Co.</v>
          </cell>
          <cell r="C101" t="str">
            <v>Synthetic aromatic hydrocarbon mixture</v>
          </cell>
          <cell r="D101">
            <v>-23</v>
          </cell>
          <cell r="E101">
            <v>330</v>
          </cell>
          <cell r="F101"/>
          <cell r="G101">
            <v>7.0635262409399662</v>
          </cell>
          <cell r="H101">
            <v>1979.9840832840671</v>
          </cell>
          <cell r="I101">
            <v>145.35304663918694</v>
          </cell>
          <cell r="J101">
            <v>227</v>
          </cell>
          <cell r="K101">
            <v>305.37222222222221</v>
          </cell>
          <cell r="L101">
            <v>416.48333333333335</v>
          </cell>
          <cell r="M101">
            <v>-3.5681874951754518</v>
          </cell>
          <cell r="N101">
            <v>996.94854413968528</v>
          </cell>
          <cell r="O101">
            <v>-141.55895377729402</v>
          </cell>
          <cell r="P101">
            <v>-3.7144236284804024</v>
          </cell>
          <cell r="Q101">
            <v>1055.4741156118303</v>
          </cell>
          <cell r="R101">
            <v>-136.01186034039787</v>
          </cell>
          <cell r="S101">
            <v>-4.6864093935961177</v>
          </cell>
          <cell r="T101">
            <v>1676.163896523766</v>
          </cell>
          <cell r="U101">
            <v>-62.50376476902229</v>
          </cell>
          <cell r="V101">
            <v>-4.8442369607211787E-2</v>
          </cell>
          <cell r="W101">
            <v>61.084552479072762</v>
          </cell>
          <cell r="X101">
            <v>-6.0258853831294172E-5</v>
          </cell>
          <cell r="Y101">
            <v>7.2121004507404995E-2</v>
          </cell>
          <cell r="Z101">
            <v>7.7760463618802369E-4</v>
          </cell>
          <cell r="AA101">
            <v>0.36900631036703158</v>
          </cell>
        </row>
        <row r="102">
          <cell r="A102" t="str">
            <v>Dowtherm Q</v>
          </cell>
          <cell r="B102" t="str">
            <v>Dow Chemical Co.</v>
          </cell>
          <cell r="C102" t="str">
            <v>Mixture of Diphenyl-ethane and Alkylated Aromatics</v>
          </cell>
          <cell r="D102">
            <v>-35</v>
          </cell>
          <cell r="E102">
            <v>330</v>
          </cell>
          <cell r="F102"/>
          <cell r="G102">
            <v>7.1128995958637695</v>
          </cell>
          <cell r="H102">
            <v>1949.5825406775127</v>
          </cell>
          <cell r="I102">
            <v>190.21007973555399</v>
          </cell>
          <cell r="J102">
            <v>215</v>
          </cell>
          <cell r="K102">
            <v>313.14999999999998</v>
          </cell>
          <cell r="L102">
            <v>433.15</v>
          </cell>
          <cell r="M102">
            <v>-2.8986755150943528</v>
          </cell>
          <cell r="N102">
            <v>638.37998710641921</v>
          </cell>
          <cell r="O102">
            <v>-143.43874755556169</v>
          </cell>
          <cell r="P102">
            <v>-3.7001582732935732</v>
          </cell>
          <cell r="Q102">
            <v>876.53571126477777</v>
          </cell>
          <cell r="R102">
            <v>-121.0556658219176</v>
          </cell>
          <cell r="S102">
            <v>-3.4371096269979629</v>
          </cell>
          <cell r="T102">
            <v>779.70683480058267</v>
          </cell>
          <cell r="U102">
            <v>-126.84345515128138</v>
          </cell>
          <cell r="V102">
            <v>-4.7197482837528677E-2</v>
          </cell>
          <cell r="W102">
            <v>61.210704805492</v>
          </cell>
          <cell r="X102">
            <v>-8.2511670480549238E-5</v>
          </cell>
          <cell r="Y102">
            <v>7.2108732265446229E-2</v>
          </cell>
          <cell r="Z102">
            <v>7.2778489702517071E-4</v>
          </cell>
          <cell r="AA102">
            <v>0.38073977116704827</v>
          </cell>
        </row>
        <row r="103">
          <cell r="A103" t="str">
            <v>Dowtherm RP</v>
          </cell>
          <cell r="B103" t="str">
            <v>Dow Chemical Co.</v>
          </cell>
          <cell r="C103" t="str">
            <v>Diaryl Alkyl</v>
          </cell>
          <cell r="D103">
            <v>0</v>
          </cell>
          <cell r="E103">
            <v>350</v>
          </cell>
          <cell r="F103"/>
          <cell r="G103">
            <v>7.3270148226833012</v>
          </cell>
          <cell r="H103">
            <v>2347.4279954699578</v>
          </cell>
          <cell r="I103">
            <v>175.19147098974182</v>
          </cell>
          <cell r="J103">
            <v>250</v>
          </cell>
          <cell r="K103">
            <v>333.15</v>
          </cell>
          <cell r="L103">
            <v>433.15</v>
          </cell>
          <cell r="M103">
            <v>-2.0902247243751004</v>
          </cell>
          <cell r="N103">
            <v>532.87569242198242</v>
          </cell>
          <cell r="O103">
            <v>-201.99402580608813</v>
          </cell>
          <cell r="P103">
            <v>-2.5192230067427643</v>
          </cell>
          <cell r="Q103">
            <v>667.31769913538972</v>
          </cell>
          <cell r="R103">
            <v>-184.590238477166</v>
          </cell>
          <cell r="S103">
            <v>-3.347992802679312</v>
          </cell>
          <cell r="T103">
            <v>1109.4020837033647</v>
          </cell>
          <cell r="U103">
            <v>-117.39653556766991</v>
          </cell>
          <cell r="V103">
            <v>-4.6272659846547354E-2</v>
          </cell>
          <cell r="W103">
            <v>65.394100000000009</v>
          </cell>
          <cell r="X103">
            <v>-7.4943989769821011E-5</v>
          </cell>
          <cell r="Y103">
            <v>7.7411000000000008E-2</v>
          </cell>
          <cell r="Z103">
            <v>7.1180562659846434E-4</v>
          </cell>
          <cell r="AA103">
            <v>0.3730400000000002</v>
          </cell>
        </row>
        <row r="104">
          <cell r="A104" t="str">
            <v>Dowtherm SR-1, 10 vol%</v>
          </cell>
          <cell r="B104" t="str">
            <v>Dow Chemical Co.</v>
          </cell>
          <cell r="C104" t="str">
            <v>Ethylene Glycol, water, and inhibitors</v>
          </cell>
          <cell r="D104">
            <v>0</v>
          </cell>
          <cell r="E104">
            <v>120</v>
          </cell>
          <cell r="F104"/>
          <cell r="G104"/>
          <cell r="H104"/>
          <cell r="I104"/>
          <cell r="J104">
            <v>250</v>
          </cell>
          <cell r="K104">
            <v>316.48333333333329</v>
          </cell>
          <cell r="L104">
            <v>360.92777777777775</v>
          </cell>
          <cell r="M104">
            <v>-3.4540988998777125</v>
          </cell>
          <cell r="N104">
            <v>561.99337162398035</v>
          </cell>
          <cell r="O104">
            <v>-138.99773928384727</v>
          </cell>
          <cell r="P104">
            <v>-3.6053793638665073</v>
          </cell>
          <cell r="Q104">
            <v>630.78157253464462</v>
          </cell>
          <cell r="R104">
            <v>-126.35701464629363</v>
          </cell>
          <cell r="S104">
            <v>-1.8957633816322184</v>
          </cell>
          <cell r="T104">
            <v>66.792819330641422</v>
          </cell>
          <cell r="U104">
            <v>-292.73514437740693</v>
          </cell>
          <cell r="V104">
            <v>-2.8692857142856569E-2</v>
          </cell>
          <cell r="W104">
            <v>63.867047619047575</v>
          </cell>
          <cell r="X104">
            <v>6.0000000000000353E-4</v>
          </cell>
          <cell r="Y104">
            <v>0.30152380952380936</v>
          </cell>
          <cell r="Z104">
            <v>4.2000000000001064E-4</v>
          </cell>
          <cell r="AA104">
            <v>0.94046666666666612</v>
          </cell>
        </row>
        <row r="105">
          <cell r="A105" t="str">
            <v>Dowtherm SR-1, 20 vol%</v>
          </cell>
          <cell r="B105" t="str">
            <v>Dow Chemical Co.</v>
          </cell>
          <cell r="C105" t="str">
            <v>Ethylene Glycol, water, and inhibitors</v>
          </cell>
          <cell r="D105">
            <v>-5</v>
          </cell>
          <cell r="E105">
            <v>120</v>
          </cell>
          <cell r="F105"/>
          <cell r="G105"/>
          <cell r="H105"/>
          <cell r="I105"/>
          <cell r="J105">
            <v>245</v>
          </cell>
          <cell r="K105">
            <v>316.48333333333329</v>
          </cell>
          <cell r="L105">
            <v>360.92777777777775</v>
          </cell>
          <cell r="M105">
            <v>-2.942178998070403</v>
          </cell>
          <cell r="N105">
            <v>460.14435716034984</v>
          </cell>
          <cell r="O105">
            <v>-159.55148955385624</v>
          </cell>
          <cell r="P105">
            <v>-3.7762193190246194</v>
          </cell>
          <cell r="Q105">
            <v>755.47255452187403</v>
          </cell>
          <cell r="R105">
            <v>-115.88889428993025</v>
          </cell>
          <cell r="S105">
            <v>-7.5026836555573473</v>
          </cell>
          <cell r="T105">
            <v>3780.8192785648448</v>
          </cell>
          <cell r="U105">
            <v>194.296398265172</v>
          </cell>
          <cell r="V105">
            <v>-3.0407142857141831E-2</v>
          </cell>
          <cell r="W105">
            <v>64.925142857142802</v>
          </cell>
          <cell r="X105">
            <v>5.1642857142857371E-4</v>
          </cell>
          <cell r="Y105">
            <v>0.27560952380952369</v>
          </cell>
          <cell r="Z105">
            <v>5.5285714285714964E-4</v>
          </cell>
          <cell r="AA105">
            <v>0.90054285714285687</v>
          </cell>
        </row>
        <row r="106">
          <cell r="A106" t="str">
            <v>Dowtherm SR-1, 30 vol%</v>
          </cell>
          <cell r="B106" t="str">
            <v>Dow Chemical Co.</v>
          </cell>
          <cell r="C106" t="str">
            <v>Ethylene Glycol, water, and inhibitors</v>
          </cell>
          <cell r="D106">
            <v>-10</v>
          </cell>
          <cell r="E106">
            <v>120</v>
          </cell>
          <cell r="F106"/>
          <cell r="G106"/>
          <cell r="H106"/>
          <cell r="I106"/>
          <cell r="J106">
            <v>240</v>
          </cell>
          <cell r="K106">
            <v>310.92777777777775</v>
          </cell>
          <cell r="L106">
            <v>360.92777777777775</v>
          </cell>
          <cell r="M106">
            <v>-3.3992398780572017</v>
          </cell>
          <cell r="N106">
            <v>631.09352293144593</v>
          </cell>
          <cell r="O106">
            <v>-142.31376289153212</v>
          </cell>
          <cell r="P106">
            <v>-4.0659741195861745</v>
          </cell>
          <cell r="Q106">
            <v>873.9653322318627</v>
          </cell>
          <cell r="R106">
            <v>-112.73009494125199</v>
          </cell>
          <cell r="S106">
            <v>-2.9503128260765985</v>
          </cell>
          <cell r="T106">
            <v>375.98412959261321</v>
          </cell>
          <cell r="U106">
            <v>-204.63148066053455</v>
          </cell>
          <cell r="V106">
            <v>-3.2271428571428042E-2</v>
          </cell>
          <cell r="W106">
            <v>65.93342857142855</v>
          </cell>
          <cell r="X106">
            <v>4.3928571428571573E-4</v>
          </cell>
          <cell r="Y106">
            <v>0.25209523809523804</v>
          </cell>
          <cell r="Z106">
            <v>6.7714285714285945E-4</v>
          </cell>
          <cell r="AA106">
            <v>0.85775238095238082</v>
          </cell>
        </row>
        <row r="107">
          <cell r="A107" t="str">
            <v>Dowtherm SR-1, 40 vol%</v>
          </cell>
          <cell r="B107" t="str">
            <v>Dow Chemical Co.</v>
          </cell>
          <cell r="C107" t="str">
            <v>Ethylene Glycol, water, and inhibitors</v>
          </cell>
          <cell r="D107">
            <v>-15</v>
          </cell>
          <cell r="E107">
            <v>120</v>
          </cell>
          <cell r="F107"/>
          <cell r="G107"/>
          <cell r="H107"/>
          <cell r="I107"/>
          <cell r="J107">
            <v>235</v>
          </cell>
          <cell r="K107">
            <v>299.81666666666666</v>
          </cell>
          <cell r="L107">
            <v>344.26111111111106</v>
          </cell>
          <cell r="M107">
            <v>-2.6057169996866385</v>
          </cell>
          <cell r="N107">
            <v>473.12244853480257</v>
          </cell>
          <cell r="O107">
            <v>-164.86547859004338</v>
          </cell>
          <cell r="P107">
            <v>-4.4957471149478296</v>
          </cell>
          <cell r="Q107">
            <v>1120.2433212275935</v>
          </cell>
          <cell r="R107">
            <v>-92.206895575044882</v>
          </cell>
          <cell r="S107">
            <v>-5.3274253279687338</v>
          </cell>
          <cell r="T107">
            <v>1598.949868725982</v>
          </cell>
          <cell r="U107">
            <v>-41.207688916766884</v>
          </cell>
          <cell r="V107">
            <v>-3.2797733711047827E-2</v>
          </cell>
          <cell r="W107">
            <v>66.70709915014163</v>
          </cell>
          <cell r="X107">
            <v>3.8919263456090638E-4</v>
          </cell>
          <cell r="Y107">
            <v>0.22873342776203967</v>
          </cell>
          <cell r="Z107">
            <v>8.0477337110481772E-4</v>
          </cell>
          <cell r="AA107">
            <v>0.81279008498583549</v>
          </cell>
        </row>
        <row r="108">
          <cell r="A108" t="str">
            <v>Dowtherm SR-1, 50 vol%</v>
          </cell>
          <cell r="B108" t="str">
            <v>Dow Chemical Co.</v>
          </cell>
          <cell r="C108" t="str">
            <v>Ethylene Glycol, water, and inhibitors</v>
          </cell>
          <cell r="D108">
            <v>-25</v>
          </cell>
          <cell r="E108">
            <v>120</v>
          </cell>
          <cell r="F108"/>
          <cell r="G108"/>
          <cell r="H108"/>
          <cell r="I108"/>
          <cell r="J108">
            <v>225</v>
          </cell>
          <cell r="K108">
            <v>277.59444444444443</v>
          </cell>
          <cell r="L108">
            <v>333.15</v>
          </cell>
          <cell r="M108">
            <v>-2.5832236115302396</v>
          </cell>
          <cell r="N108">
            <v>527.11438932683279</v>
          </cell>
          <cell r="O108">
            <v>-160.34652009799848</v>
          </cell>
          <cell r="P108">
            <v>-3.9073464617472586</v>
          </cell>
          <cell r="Q108">
            <v>886.90743120704576</v>
          </cell>
          <cell r="R108">
            <v>-125.20085959710431</v>
          </cell>
          <cell r="S108">
            <v>-4.3965211967532083</v>
          </cell>
          <cell r="T108">
            <v>1074.882071535601</v>
          </cell>
          <cell r="U108">
            <v>-107.05874236217757</v>
          </cell>
          <cell r="V108">
            <v>-3.2625000000000036E-2</v>
          </cell>
          <cell r="W108">
            <v>67.482500000000002</v>
          </cell>
          <cell r="X108">
            <v>3.5035714285714217E-4</v>
          </cell>
          <cell r="Y108">
            <v>0.20905000000000001</v>
          </cell>
          <cell r="Z108">
            <v>9.2571428571428492E-4</v>
          </cell>
          <cell r="AA108">
            <v>0.76545714285714284</v>
          </cell>
        </row>
        <row r="109">
          <cell r="A109" t="str">
            <v>Dowtherm SR-1, 60 vol%</v>
          </cell>
          <cell r="B109" t="str">
            <v>Dow Chemical Co.</v>
          </cell>
          <cell r="C109" t="str">
            <v>Ethylene Glycol, water, and inhibitors</v>
          </cell>
          <cell r="D109">
            <v>-30</v>
          </cell>
          <cell r="E109">
            <v>120</v>
          </cell>
          <cell r="F109"/>
          <cell r="G109"/>
          <cell r="H109"/>
          <cell r="I109"/>
          <cell r="J109">
            <v>220</v>
          </cell>
          <cell r="K109">
            <v>277.59444444444443</v>
          </cell>
          <cell r="L109">
            <v>333.15</v>
          </cell>
          <cell r="M109">
            <v>-4.7544401033015751</v>
          </cell>
          <cell r="N109">
            <v>1150.4400414057125</v>
          </cell>
          <cell r="O109">
            <v>-114.34140832767656</v>
          </cell>
          <cell r="P109">
            <v>-4.453839282129012</v>
          </cell>
          <cell r="Q109">
            <v>1055.522944433618</v>
          </cell>
          <cell r="R109">
            <v>-121.13662898838032</v>
          </cell>
          <cell r="S109">
            <v>-4.1678787040561884</v>
          </cell>
          <cell r="T109">
            <v>931.55799574534194</v>
          </cell>
          <cell r="U109">
            <v>-134.6339193879121</v>
          </cell>
          <cell r="V109">
            <v>-3.4740735068912731E-2</v>
          </cell>
          <cell r="W109">
            <v>68.260858090862683</v>
          </cell>
          <cell r="X109">
            <v>2.8281776416539035E-4</v>
          </cell>
          <cell r="Y109">
            <v>0.19249954058192958</v>
          </cell>
          <cell r="Z109">
            <v>1.0453139356814719E-3</v>
          </cell>
          <cell r="AA109">
            <v>0.7158786625829503</v>
          </cell>
        </row>
        <row r="110">
          <cell r="A110" t="str">
            <v>Dowtherm SR-1, 70 vol%</v>
          </cell>
          <cell r="B110" t="str">
            <v>Dow Chemical Co.</v>
          </cell>
          <cell r="C110" t="str">
            <v>Ethylene Glycol, water, and inhibitors</v>
          </cell>
          <cell r="D110">
            <v>-30</v>
          </cell>
          <cell r="E110">
            <v>120</v>
          </cell>
          <cell r="F110"/>
          <cell r="G110"/>
          <cell r="H110"/>
          <cell r="I110"/>
          <cell r="J110">
            <v>220</v>
          </cell>
          <cell r="K110">
            <v>277.59444444444443</v>
          </cell>
          <cell r="L110">
            <v>333.15</v>
          </cell>
          <cell r="M110">
            <v>-7.5308970338774142</v>
          </cell>
          <cell r="N110">
            <v>2246.9152765318167</v>
          </cell>
          <cell r="O110">
            <v>-57.342997610007458</v>
          </cell>
          <cell r="P110">
            <v>-5.1035252534523892</v>
          </cell>
          <cell r="Q110">
            <v>1321.8554684079036</v>
          </cell>
          <cell r="R110">
            <v>-107.563814380434</v>
          </cell>
          <cell r="S110">
            <v>-5.0621678171235658</v>
          </cell>
          <cell r="T110">
            <v>1342.7106530669955</v>
          </cell>
          <cell r="U110">
            <v>-102.37588940222409</v>
          </cell>
          <cell r="V110">
            <v>-3.7388195121951392E-2</v>
          </cell>
          <cell r="W110">
            <v>69.071135609756112</v>
          </cell>
          <cell r="X110">
            <v>2.1990731707317081E-4</v>
          </cell>
          <cell r="Y110">
            <v>0.17885141463414633</v>
          </cell>
          <cell r="Z110">
            <v>1.1668390243902442E-3</v>
          </cell>
          <cell r="AA110">
            <v>0.66550087804878044</v>
          </cell>
        </row>
        <row r="111">
          <cell r="A111" t="str">
            <v>Dowtherm SR-1, 80 vol%</v>
          </cell>
          <cell r="B111" t="str">
            <v>Dow Chemical Co.</v>
          </cell>
          <cell r="C111" t="str">
            <v>Ethylene Glycol, water, and inhibitors</v>
          </cell>
          <cell r="D111">
            <v>-30</v>
          </cell>
          <cell r="E111">
            <v>120</v>
          </cell>
          <cell r="F111"/>
          <cell r="G111"/>
          <cell r="H111"/>
          <cell r="I111"/>
          <cell r="J111">
            <v>220</v>
          </cell>
          <cell r="K111">
            <v>277.59444444444443</v>
          </cell>
          <cell r="L111">
            <v>333.15</v>
          </cell>
          <cell r="M111">
            <v>-8.885660346676751</v>
          </cell>
          <cell r="N111">
            <v>2905.8322535635148</v>
          </cell>
          <cell r="O111">
            <v>-32.723412051788742</v>
          </cell>
          <cell r="P111">
            <v>-5.1297580399916445</v>
          </cell>
          <cell r="Q111">
            <v>1394.7944429590843</v>
          </cell>
          <cell r="R111">
            <v>-105.62867409860768</v>
          </cell>
          <cell r="S111">
            <v>-4.9400740940765084</v>
          </cell>
          <cell r="T111">
            <v>1311.0306054032967</v>
          </cell>
          <cell r="U111">
            <v>-112.46400559861104</v>
          </cell>
          <cell r="V111">
            <v>-4.0223334885887342E-2</v>
          </cell>
          <cell r="W111">
            <v>69.854878900791803</v>
          </cell>
          <cell r="X111">
            <v>1.6847228691197069E-4</v>
          </cell>
          <cell r="Y111">
            <v>0.16653837913367484</v>
          </cell>
          <cell r="Z111">
            <v>1.2737913367489534E-3</v>
          </cell>
          <cell r="AA111">
            <v>0.61082426641825793</v>
          </cell>
        </row>
        <row r="112">
          <cell r="A112" t="str">
            <v>Dowtherm SR-1, 90 vol%</v>
          </cell>
          <cell r="B112" t="str">
            <v>Dow Chemical Co.</v>
          </cell>
          <cell r="C112" t="str">
            <v>Ethylene Glycol, water, and inhibitors</v>
          </cell>
          <cell r="D112">
            <v>-25</v>
          </cell>
          <cell r="E112">
            <v>120</v>
          </cell>
          <cell r="F112"/>
          <cell r="G112"/>
          <cell r="H112"/>
          <cell r="I112"/>
          <cell r="J112">
            <v>225</v>
          </cell>
          <cell r="K112">
            <v>277.59444444444443</v>
          </cell>
          <cell r="L112">
            <v>333.15</v>
          </cell>
          <cell r="M112">
            <v>-2.8971738044502224</v>
          </cell>
          <cell r="N112">
            <v>742.66106839021381</v>
          </cell>
          <cell r="O112">
            <v>-157.37818511214232</v>
          </cell>
          <cell r="P112">
            <v>-3.9616878151193049</v>
          </cell>
          <cell r="Q112">
            <v>1024.5141063168505</v>
          </cell>
          <cell r="R112">
            <v>-136.13040730631306</v>
          </cell>
          <cell r="S112">
            <v>-4.8900716404559539</v>
          </cell>
          <cell r="T112">
            <v>1419.7370242896554</v>
          </cell>
          <cell r="U112">
            <v>-101.48653195955525</v>
          </cell>
          <cell r="V112">
            <v>-4.3052775073028633E-2</v>
          </cell>
          <cell r="W112">
            <v>70.63573709834472</v>
          </cell>
          <cell r="X112">
            <v>1.2741966893865551E-4</v>
          </cell>
          <cell r="Y112">
            <v>0.15600817916260959</v>
          </cell>
          <cell r="Z112">
            <v>1.3866309639727367E-3</v>
          </cell>
          <cell r="AA112">
            <v>0.5548703018500486</v>
          </cell>
        </row>
        <row r="113">
          <cell r="A113" t="str">
            <v>Ethane</v>
          </cell>
          <cell r="B113"/>
          <cell r="C113"/>
          <cell r="D113">
            <v>-173</v>
          </cell>
          <cell r="E113">
            <v>-18</v>
          </cell>
          <cell r="F113"/>
          <cell r="G113">
            <v>7.004820236539544</v>
          </cell>
          <cell r="H113">
            <v>735.6162609068773</v>
          </cell>
          <cell r="I113">
            <v>267.10840917760106</v>
          </cell>
          <cell r="J113">
            <v>77</v>
          </cell>
          <cell r="K113">
            <v>210.92777777777775</v>
          </cell>
          <cell r="L113">
            <v>255.37222222222221</v>
          </cell>
          <cell r="M113">
            <v>-3.646045719272585</v>
          </cell>
          <cell r="N113">
            <v>272.81470767684846</v>
          </cell>
          <cell r="O113">
            <v>-32.001731635539983</v>
          </cell>
          <cell r="P113">
            <v>-1.161077317358707</v>
          </cell>
          <cell r="Q113">
            <v>129.61250373995063</v>
          </cell>
          <cell r="R113">
            <v>-345.90790874237842</v>
          </cell>
          <cell r="S113">
            <v>-1.0230176342743991</v>
          </cell>
          <cell r="T113">
            <v>221.61057913894402</v>
          </cell>
          <cell r="U113">
            <v>-396.55445631328536</v>
          </cell>
          <cell r="V113">
            <v>-0.11583964285714292</v>
          </cell>
          <cell r="W113">
            <v>24.111842857142857</v>
          </cell>
          <cell r="X113">
            <v>-4.0580357142857199E-4</v>
          </cell>
          <cell r="Y113">
            <v>5.1124999999999976E-2</v>
          </cell>
          <cell r="Z113">
            <v>2.0432571428571386E-3</v>
          </cell>
          <cell r="AA113">
            <v>0.75593314285714264</v>
          </cell>
        </row>
        <row r="114">
          <cell r="A114" t="str">
            <v>Ethylene</v>
          </cell>
          <cell r="B114"/>
          <cell r="C114"/>
          <cell r="D114">
            <v>-146</v>
          </cell>
          <cell r="E114">
            <v>-34</v>
          </cell>
          <cell r="F114"/>
          <cell r="G114">
            <v>6.9027963499602798</v>
          </cell>
          <cell r="H114">
            <v>634.96695037834206</v>
          </cell>
          <cell r="I114">
            <v>261.59550120397489</v>
          </cell>
          <cell r="J114">
            <v>104</v>
          </cell>
          <cell r="K114">
            <v>188.70555555555552</v>
          </cell>
          <cell r="L114">
            <v>233.15</v>
          </cell>
          <cell r="M114">
            <v>-3.9385132929635773</v>
          </cell>
          <cell r="N114">
            <v>336.46455232975751</v>
          </cell>
          <cell r="O114">
            <v>-11.312160530114086</v>
          </cell>
          <cell r="P114">
            <v>-4.1044848003973087</v>
          </cell>
          <cell r="Q114">
            <v>383.99791437070428</v>
          </cell>
          <cell r="R114">
            <v>-2.5415011252211284</v>
          </cell>
          <cell r="S114">
            <v>-1.6498921965214655</v>
          </cell>
          <cell r="T114">
            <v>64.392682762021039</v>
          </cell>
          <cell r="U114">
            <v>-314.71735328082951</v>
          </cell>
          <cell r="V114">
            <v>-0.13115090651558073</v>
          </cell>
          <cell r="W114">
            <v>22.221960906515584</v>
          </cell>
          <cell r="X114">
            <v>-6.192917847025498E-4</v>
          </cell>
          <cell r="Y114">
            <v>4.7449291784702537E-2</v>
          </cell>
          <cell r="Z114">
            <v>5.0240651558073647E-3</v>
          </cell>
          <cell r="AA114">
            <v>1.0524909348441924</v>
          </cell>
        </row>
        <row r="115">
          <cell r="A115" t="str">
            <v>Hitec</v>
          </cell>
          <cell r="B115" t="str">
            <v>Coastal</v>
          </cell>
          <cell r="C115" t="str">
            <v>Nitrates, Nitrite</v>
          </cell>
          <cell r="D115">
            <v>260</v>
          </cell>
          <cell r="E115">
            <v>540</v>
          </cell>
          <cell r="F115"/>
          <cell r="G115"/>
          <cell r="H115"/>
          <cell r="I115"/>
          <cell r="J115">
            <v>510</v>
          </cell>
          <cell r="K115">
            <v>533.15</v>
          </cell>
          <cell r="L115">
            <v>811.15</v>
          </cell>
          <cell r="M115">
            <v>-1.9675257682928948</v>
          </cell>
          <cell r="N115">
            <v>1447.9959053734697</v>
          </cell>
          <cell r="O115">
            <v>-105.57888888888888</v>
          </cell>
          <cell r="P115">
            <v>-1.9675257682928948</v>
          </cell>
          <cell r="Q115">
            <v>1447.9959053734697</v>
          </cell>
          <cell r="R115">
            <v>-105.57888888888888</v>
          </cell>
          <cell r="S115">
            <v>-1.9675257682928948</v>
          </cell>
          <cell r="T115">
            <v>1447.9959053734697</v>
          </cell>
          <cell r="U115">
            <v>-105.57888888888888</v>
          </cell>
          <cell r="V115">
            <v>-4.5360000000000289E-2</v>
          </cell>
          <cell r="W115">
            <v>129.59360000000001</v>
          </cell>
          <cell r="X115">
            <v>0</v>
          </cell>
          <cell r="Y115">
            <v>0.35</v>
          </cell>
          <cell r="Z115">
            <v>0</v>
          </cell>
          <cell r="AA115">
            <v>0.373</v>
          </cell>
        </row>
        <row r="116">
          <cell r="A116" t="str">
            <v>Ilexan S</v>
          </cell>
          <cell r="B116" t="str">
            <v>HUELS, GmbH</v>
          </cell>
          <cell r="C116" t="str">
            <v>Isomeric Alkyl Benzenes</v>
          </cell>
          <cell r="D116">
            <v>-30</v>
          </cell>
          <cell r="E116">
            <v>260</v>
          </cell>
          <cell r="F116"/>
          <cell r="G116">
            <v>8.0227691541064843</v>
          </cell>
          <cell r="H116">
            <v>2708.6436853874538</v>
          </cell>
          <cell r="I116">
            <v>232.68689172022854</v>
          </cell>
          <cell r="J116">
            <v>220</v>
          </cell>
          <cell r="K116">
            <v>313.14999999999998</v>
          </cell>
          <cell r="L116">
            <v>433.15</v>
          </cell>
          <cell r="M116">
            <v>-2.379112578534075</v>
          </cell>
          <cell r="N116">
            <v>510.56093269756792</v>
          </cell>
          <cell r="O116">
            <v>-182.50100499735416</v>
          </cell>
          <cell r="P116">
            <v>-1.9081589673970369</v>
          </cell>
          <cell r="Q116">
            <v>349.95946757576911</v>
          </cell>
          <cell r="R116">
            <v>-211.32669496758069</v>
          </cell>
          <cell r="S116">
            <v>-2.6204593763108668</v>
          </cell>
          <cell r="T116">
            <v>766.24931586526998</v>
          </cell>
          <cell r="U116">
            <v>-98.536019764812366</v>
          </cell>
          <cell r="V116">
            <v>-4.4995733788395942E-2</v>
          </cell>
          <cell r="W116">
            <v>55.042406143344714</v>
          </cell>
          <cell r="X116">
            <v>-8.0328498293515398E-5</v>
          </cell>
          <cell r="Y116">
            <v>6.6934726962457336E-2</v>
          </cell>
          <cell r="Z116">
            <v>1.064419795221842E-3</v>
          </cell>
          <cell r="AA116">
            <v>0.41633276450511963</v>
          </cell>
        </row>
        <row r="117">
          <cell r="A117" t="str">
            <v>Jarytherm AX320</v>
          </cell>
          <cell r="B117" t="str">
            <v>elf atochem</v>
          </cell>
          <cell r="C117" t="str">
            <v>Mixture of mono and dixylylxylene isomers</v>
          </cell>
          <cell r="D117">
            <v>-25</v>
          </cell>
          <cell r="E117">
            <v>310</v>
          </cell>
          <cell r="F117"/>
          <cell r="G117">
            <v>8.5232040325944354</v>
          </cell>
          <cell r="H117">
            <v>3499.7529125795945</v>
          </cell>
          <cell r="I117">
            <v>291.16457987971</v>
          </cell>
          <cell r="J117">
            <v>225</v>
          </cell>
          <cell r="K117">
            <v>310.92777777777775</v>
          </cell>
          <cell r="L117">
            <v>422.03888888888889</v>
          </cell>
          <cell r="M117">
            <v>-2.5255668035969636</v>
          </cell>
          <cell r="N117">
            <v>621.98484459932638</v>
          </cell>
          <cell r="O117">
            <v>-181.90754172875819</v>
          </cell>
          <cell r="P117">
            <v>-2.7617828073022115</v>
          </cell>
          <cell r="Q117">
            <v>688.08212958018771</v>
          </cell>
          <cell r="R117">
            <v>-174.86377974105844</v>
          </cell>
          <cell r="S117">
            <v>-3.2451368501474209</v>
          </cell>
          <cell r="T117">
            <v>958.88521073215361</v>
          </cell>
          <cell r="U117">
            <v>-128.54495636759069</v>
          </cell>
          <cell r="V117">
            <v>-1.4388888888888889E-2</v>
          </cell>
          <cell r="W117">
            <v>63.051200000000001</v>
          </cell>
          <cell r="X117">
            <v>-3.3388888888888886E-5</v>
          </cell>
          <cell r="Y117">
            <v>9.44768E-2</v>
          </cell>
          <cell r="Z117">
            <v>2.0000000000000001E-4</v>
          </cell>
          <cell r="AA117">
            <v>0.43451999999999996</v>
          </cell>
        </row>
        <row r="118">
          <cell r="A118" t="str">
            <v>Jarytherm BT06</v>
          </cell>
          <cell r="B118" t="str">
            <v>elf atochem</v>
          </cell>
          <cell r="C118" t="str">
            <v>Mixture of benzyl and dibenzyltoluene isomers</v>
          </cell>
          <cell r="D118">
            <v>-30</v>
          </cell>
          <cell r="E118">
            <v>350</v>
          </cell>
          <cell r="F118"/>
          <cell r="G118">
            <v>6.4759905709014802</v>
          </cell>
          <cell r="H118">
            <v>1589.351809967286</v>
          </cell>
          <cell r="I118">
            <v>151.79550208165438</v>
          </cell>
          <cell r="J118">
            <v>220</v>
          </cell>
          <cell r="K118">
            <v>288.70555555555552</v>
          </cell>
          <cell r="L118">
            <v>422.03888888888889</v>
          </cell>
          <cell r="M118">
            <v>-2.3306180717907266</v>
          </cell>
          <cell r="N118">
            <v>536.56936034803527</v>
          </cell>
          <cell r="O118">
            <v>-165.69491451633411</v>
          </cell>
          <cell r="P118">
            <v>-2.5623008442067046</v>
          </cell>
          <cell r="Q118">
            <v>600.78776465337432</v>
          </cell>
          <cell r="R118">
            <v>-157.91920319956554</v>
          </cell>
          <cell r="S118">
            <v>-3.1613827944834632</v>
          </cell>
          <cell r="T118">
            <v>963.77184066532084</v>
          </cell>
          <cell r="U118">
            <v>-86.669481168858169</v>
          </cell>
          <cell r="V118">
            <v>-1.5277777777777777E-2</v>
          </cell>
          <cell r="W118">
            <v>63.8</v>
          </cell>
          <cell r="X118">
            <v>-2.2333333333333335E-5</v>
          </cell>
          <cell r="Y118">
            <v>7.6413599999999998E-2</v>
          </cell>
          <cell r="Z118">
            <v>2.1666666666666667E-5</v>
          </cell>
          <cell r="AA118">
            <v>0.35924800000000001</v>
          </cell>
        </row>
        <row r="119">
          <cell r="A119" t="str">
            <v>Jarytherm DBT</v>
          </cell>
          <cell r="B119" t="str">
            <v>elf atochem</v>
          </cell>
          <cell r="C119" t="str">
            <v>Mixture of dibenzyltoluene isomers</v>
          </cell>
          <cell r="D119">
            <v>0</v>
          </cell>
          <cell r="E119">
            <v>350</v>
          </cell>
          <cell r="F119"/>
          <cell r="G119">
            <v>7.5221420608486076</v>
          </cell>
          <cell r="H119">
            <v>2480.8450167888291</v>
          </cell>
          <cell r="I119">
            <v>159.9224338532328</v>
          </cell>
          <cell r="J119">
            <v>250</v>
          </cell>
          <cell r="K119">
            <v>324.81666666666666</v>
          </cell>
          <cell r="L119">
            <v>422.03888888888889</v>
          </cell>
          <cell r="M119">
            <v>-2.5602809989727726</v>
          </cell>
          <cell r="N119">
            <v>643.35273182579124</v>
          </cell>
          <cell r="O119">
            <v>-194.44174871634272</v>
          </cell>
          <cell r="P119">
            <v>-2.7417427221893895</v>
          </cell>
          <cell r="Q119">
            <v>693.89853977932046</v>
          </cell>
          <cell r="R119">
            <v>-189.18622909687559</v>
          </cell>
          <cell r="S119">
            <v>-3.1643919056171574</v>
          </cell>
          <cell r="T119">
            <v>915.41286123230634</v>
          </cell>
          <cell r="U119">
            <v>-153.00862186652284</v>
          </cell>
          <cell r="V119">
            <v>-1.4277777777777778E-2</v>
          </cell>
          <cell r="W119">
            <v>66.117599999999996</v>
          </cell>
          <cell r="X119">
            <v>-1.4666666666666666E-5</v>
          </cell>
          <cell r="Y119">
            <v>7.4755199999999994E-2</v>
          </cell>
          <cell r="Z119">
            <v>2.3555555555555556E-4</v>
          </cell>
          <cell r="AA119">
            <v>0.363568</v>
          </cell>
        </row>
        <row r="120">
          <cell r="A120" t="str">
            <v>Marlotherm LH</v>
          </cell>
          <cell r="B120" t="str">
            <v>HUELS, GmbH</v>
          </cell>
          <cell r="C120" t="str">
            <v>Aromatic</v>
          </cell>
          <cell r="D120">
            <v>0</v>
          </cell>
          <cell r="E120">
            <v>280</v>
          </cell>
          <cell r="F120"/>
          <cell r="G120">
            <v>7.6453392240356663</v>
          </cell>
          <cell r="H120">
            <v>2360.4871801475174</v>
          </cell>
          <cell r="I120">
            <v>217.55702546155811</v>
          </cell>
          <cell r="J120">
            <v>250</v>
          </cell>
          <cell r="K120">
            <v>373.15</v>
          </cell>
          <cell r="L120">
            <v>493.15</v>
          </cell>
          <cell r="M120">
            <v>-3.1762007286791727</v>
          </cell>
          <cell r="N120">
            <v>799.97952788484827</v>
          </cell>
          <cell r="O120">
            <v>-121.28319553090057</v>
          </cell>
          <cell r="P120">
            <v>-4.3031500388789796</v>
          </cell>
          <cell r="Q120">
            <v>1600.2205876089981</v>
          </cell>
          <cell r="R120">
            <v>-1.2780984509027122</v>
          </cell>
          <cell r="S120">
            <v>-3.5332905160788615</v>
          </cell>
          <cell r="T120">
            <v>950.80601143695822</v>
          </cell>
          <cell r="U120">
            <v>-110.2959179184566</v>
          </cell>
          <cell r="V120">
            <v>-5.2325949367088578E-2</v>
          </cell>
          <cell r="W120">
            <v>63.478797468354429</v>
          </cell>
          <cell r="X120">
            <v>-6.7273206751054907E-5</v>
          </cell>
          <cell r="Y120">
            <v>7.7384493670886095E-2</v>
          </cell>
          <cell r="Z120">
            <v>8.0321729957805892E-4</v>
          </cell>
          <cell r="AA120">
            <v>0.36904746835443047</v>
          </cell>
        </row>
        <row r="121">
          <cell r="A121" t="str">
            <v>Marlotherm N</v>
          </cell>
          <cell r="B121" t="str">
            <v>HUELS, GmbH</v>
          </cell>
          <cell r="C121" t="str">
            <v>Aromatic</v>
          </cell>
          <cell r="D121">
            <v>70</v>
          </cell>
          <cell r="E121">
            <v>300</v>
          </cell>
          <cell r="F121"/>
          <cell r="G121">
            <v>7.0584591302047333</v>
          </cell>
          <cell r="H121">
            <v>2092.846057929728</v>
          </cell>
          <cell r="I121">
            <v>134.90344624063621</v>
          </cell>
          <cell r="J121">
            <v>320</v>
          </cell>
          <cell r="K121">
            <v>373.15</v>
          </cell>
          <cell r="L121">
            <v>473.15</v>
          </cell>
          <cell r="M121">
            <v>-4.2880266270889269</v>
          </cell>
          <cell r="N121">
            <v>1240.5452434870508</v>
          </cell>
          <cell r="O121">
            <v>-138.74243854357417</v>
          </cell>
          <cell r="P121">
            <v>-5.4604364926990083</v>
          </cell>
          <cell r="Q121">
            <v>2234.5561456521182</v>
          </cell>
          <cell r="R121">
            <v>-27.49322935071789</v>
          </cell>
          <cell r="S121">
            <v>-6.3268419317608116</v>
          </cell>
          <cell r="T121">
            <v>3162.9433569185935</v>
          </cell>
          <cell r="U121">
            <v>64.72165588339135</v>
          </cell>
          <cell r="V121">
            <v>-4.1579341317365223E-2</v>
          </cell>
          <cell r="W121">
            <v>54.254191616766462</v>
          </cell>
          <cell r="X121">
            <v>-6.856287425149719E-5</v>
          </cell>
          <cell r="Y121">
            <v>8.050898203592817E-2</v>
          </cell>
          <cell r="Z121">
            <v>8.7181886227545179E-4</v>
          </cell>
          <cell r="AA121">
            <v>0.45259730538922111</v>
          </cell>
        </row>
        <row r="122">
          <cell r="A122" t="str">
            <v>Marlotherm P1</v>
          </cell>
          <cell r="B122" t="str">
            <v>HUELS, GmbH</v>
          </cell>
          <cell r="C122" t="str">
            <v>Aliphatic</v>
          </cell>
          <cell r="D122">
            <v>-30</v>
          </cell>
          <cell r="E122">
            <v>180</v>
          </cell>
          <cell r="F122"/>
          <cell r="G122"/>
          <cell r="H122"/>
          <cell r="I122"/>
          <cell r="J122">
            <v>220</v>
          </cell>
          <cell r="K122">
            <v>273.14999999999998</v>
          </cell>
          <cell r="L122">
            <v>373.15</v>
          </cell>
          <cell r="M122">
            <v>14.279212846279769</v>
          </cell>
          <cell r="N122">
            <v>1449.3852450627496</v>
          </cell>
          <cell r="O122">
            <v>-386.82332598572276</v>
          </cell>
          <cell r="P122">
            <v>-1.0488942979402087</v>
          </cell>
          <cell r="Q122">
            <v>99.59533384539948</v>
          </cell>
          <cell r="R122">
            <v>-234.5121783243541</v>
          </cell>
          <cell r="S122">
            <v>4.7040809398363903</v>
          </cell>
          <cell r="T122">
            <v>5314.1330512972672</v>
          </cell>
          <cell r="U122">
            <v>-1428.6744454839074</v>
          </cell>
          <cell r="V122">
            <v>-4.6309090909090821E-2</v>
          </cell>
          <cell r="W122">
            <v>48.613090909090907</v>
          </cell>
          <cell r="X122">
            <v>-1.3859999999999993E-4</v>
          </cell>
          <cell r="Y122">
            <v>7.3835999999999999E-2</v>
          </cell>
          <cell r="Z122">
            <v>1.021090909090909E-3</v>
          </cell>
          <cell r="AA122">
            <v>0.49378909090909096</v>
          </cell>
        </row>
        <row r="123">
          <cell r="A123" t="str">
            <v>Marlotherm P2</v>
          </cell>
          <cell r="B123" t="str">
            <v>HUELS, GmbH</v>
          </cell>
          <cell r="C123" t="str">
            <v>Aliphatic</v>
          </cell>
          <cell r="D123">
            <v>0</v>
          </cell>
          <cell r="E123">
            <v>200</v>
          </cell>
          <cell r="F123"/>
          <cell r="G123"/>
          <cell r="H123"/>
          <cell r="I123"/>
          <cell r="J123">
            <v>250</v>
          </cell>
          <cell r="K123">
            <v>273.14999999999998</v>
          </cell>
          <cell r="L123">
            <v>373.15</v>
          </cell>
          <cell r="M123">
            <v>14.279212846279769</v>
          </cell>
          <cell r="N123">
            <v>1449.3852450627496</v>
          </cell>
          <cell r="O123">
            <v>-386.82332598572276</v>
          </cell>
          <cell r="P123">
            <v>-1.0488942979402087</v>
          </cell>
          <cell r="Q123">
            <v>99.59533384539948</v>
          </cell>
          <cell r="R123">
            <v>-234.5121783243541</v>
          </cell>
          <cell r="S123">
            <v>4.7040809398363903</v>
          </cell>
          <cell r="T123">
            <v>5314.1330512972672</v>
          </cell>
          <cell r="U123">
            <v>-1428.6744454839074</v>
          </cell>
          <cell r="V123">
            <v>-4.4018181818181845E-2</v>
          </cell>
          <cell r="W123">
            <v>50.790181818181821</v>
          </cell>
          <cell r="X123">
            <v>-7.4945454545454615E-5</v>
          </cell>
          <cell r="Y123">
            <v>7.0349454545454548E-2</v>
          </cell>
          <cell r="Z123">
            <v>9.9654545454545568E-4</v>
          </cell>
          <cell r="AA123">
            <v>0.48853454545454533</v>
          </cell>
        </row>
        <row r="124">
          <cell r="A124" t="str">
            <v>Marlotherm SH</v>
          </cell>
          <cell r="B124" t="str">
            <v>HUELS, GmbH</v>
          </cell>
          <cell r="C124" t="str">
            <v>Aromatic</v>
          </cell>
          <cell r="D124">
            <v>70</v>
          </cell>
          <cell r="E124">
            <v>350</v>
          </cell>
          <cell r="F124"/>
          <cell r="G124">
            <v>7.3647503346405321</v>
          </cell>
          <cell r="H124">
            <v>2246.296086695731</v>
          </cell>
          <cell r="I124">
            <v>130.03887575503424</v>
          </cell>
          <cell r="J124">
            <v>320</v>
          </cell>
          <cell r="K124">
            <v>393.15</v>
          </cell>
          <cell r="L124">
            <v>513.15</v>
          </cell>
          <cell r="M124">
            <v>-1.7098029051774142</v>
          </cell>
          <cell r="N124">
            <v>460.69374015014131</v>
          </cell>
          <cell r="O124">
            <v>-211.96796481211476</v>
          </cell>
          <cell r="P124">
            <v>-2.879162306707749</v>
          </cell>
          <cell r="Q124">
            <v>769.9031631954291</v>
          </cell>
          <cell r="R124">
            <v>-185.74473375233424</v>
          </cell>
          <cell r="S124">
            <v>-3.8876795362848942</v>
          </cell>
          <cell r="T124">
            <v>1250.1042516784294</v>
          </cell>
          <cell r="U124">
            <v>-141.10034466919359</v>
          </cell>
          <cell r="V124">
            <v>-4.4464285714285748E-2</v>
          </cell>
          <cell r="W124">
            <v>66.046428571428578</v>
          </cell>
          <cell r="X124">
            <v>-7.5000000000000102E-5</v>
          </cell>
          <cell r="Y124">
            <v>7.6928571428571457E-2</v>
          </cell>
          <cell r="Z124">
            <v>8.8869047619047543E-4</v>
          </cell>
          <cell r="AA124">
            <v>0.35317857142857156</v>
          </cell>
        </row>
        <row r="125">
          <cell r="A125" t="str">
            <v>Marlotherm X</v>
          </cell>
          <cell r="B125" t="str">
            <v>HUELS, GmbH</v>
          </cell>
          <cell r="C125" t="str">
            <v>Aromatic</v>
          </cell>
          <cell r="D125">
            <v>-60</v>
          </cell>
          <cell r="E125">
            <v>180</v>
          </cell>
          <cell r="F125"/>
          <cell r="G125">
            <v>7.6833497577540619</v>
          </cell>
          <cell r="H125">
            <v>2065.5503921442819</v>
          </cell>
          <cell r="I125">
            <v>247.75265521510613</v>
          </cell>
          <cell r="J125">
            <v>190</v>
          </cell>
          <cell r="K125">
            <v>313.14999999999998</v>
          </cell>
          <cell r="L125">
            <v>433.15</v>
          </cell>
          <cell r="M125">
            <v>-4.547807371119446</v>
          </cell>
          <cell r="N125">
            <v>1238.9477502892032</v>
          </cell>
          <cell r="O125">
            <v>-14.416161919837418</v>
          </cell>
          <cell r="P125">
            <v>-2.7331484023485491</v>
          </cell>
          <cell r="Q125">
            <v>409.87993329197423</v>
          </cell>
          <cell r="R125">
            <v>-137.43728176732253</v>
          </cell>
          <cell r="S125">
            <v>-3.6416056059022246</v>
          </cell>
          <cell r="T125">
            <v>869.45386489744283</v>
          </cell>
          <cell r="U125">
            <v>-54.22572226638826</v>
          </cell>
          <cell r="V125">
            <v>-5.1595264937993254E-2</v>
          </cell>
          <cell r="W125">
            <v>55.11149943630214</v>
          </cell>
          <cell r="X125">
            <v>-1.5016629086809477E-4</v>
          </cell>
          <cell r="Y125">
            <v>7.9089007891770022E-2</v>
          </cell>
          <cell r="Z125">
            <v>7.7781003382187172E-4</v>
          </cell>
          <cell r="AA125">
            <v>0.4234315107102592</v>
          </cell>
        </row>
        <row r="126">
          <cell r="A126" t="str">
            <v>Methane</v>
          </cell>
          <cell r="B126"/>
          <cell r="C126"/>
          <cell r="D126">
            <v>-182</v>
          </cell>
          <cell r="E126">
            <v>-137</v>
          </cell>
          <cell r="F126"/>
          <cell r="G126">
            <v>6.727073585511782</v>
          </cell>
          <cell r="H126">
            <v>413.32359610982462</v>
          </cell>
          <cell r="I126">
            <v>268.9513247666934</v>
          </cell>
          <cell r="J126">
            <v>68</v>
          </cell>
          <cell r="K126">
            <v>110.92777777777775</v>
          </cell>
          <cell r="L126">
            <v>144.26111111111109</v>
          </cell>
          <cell r="M126">
            <v>-5.5913651151398307</v>
          </cell>
          <cell r="N126">
            <v>535.55454116473561</v>
          </cell>
          <cell r="O126">
            <v>44.185732954436546</v>
          </cell>
          <cell r="P126">
            <v>-4.3174237470844252</v>
          </cell>
          <cell r="Q126">
            <v>216.88158502878102</v>
          </cell>
          <cell r="R126">
            <v>-11.382397357606637</v>
          </cell>
          <cell r="S126">
            <v>-1.8906618321337583</v>
          </cell>
          <cell r="T126">
            <v>61.715133313499472</v>
          </cell>
          <cell r="U126">
            <v>-221.93076588394669</v>
          </cell>
          <cell r="V126">
            <v>-0.14174569210866625</v>
          </cell>
          <cell r="W126">
            <v>3.5758139715396355</v>
          </cell>
          <cell r="X126">
            <v>-9.2107373868046641E-4</v>
          </cell>
          <cell r="Y126">
            <v>-3.7076455368693542E-2</v>
          </cell>
          <cell r="Z126">
            <v>8.582833117723121E-3</v>
          </cell>
          <cell r="AA126">
            <v>2.1907848641655838</v>
          </cell>
        </row>
        <row r="127">
          <cell r="A127" t="str">
            <v>Mobiltherm 603</v>
          </cell>
          <cell r="B127" t="str">
            <v>Mobil Oil</v>
          </cell>
          <cell r="C127" t="str">
            <v>Paraffinic Oil</v>
          </cell>
          <cell r="D127">
            <v>40</v>
          </cell>
          <cell r="E127">
            <v>315</v>
          </cell>
          <cell r="F127"/>
          <cell r="G127"/>
          <cell r="H127"/>
          <cell r="I127"/>
          <cell r="J127">
            <v>288</v>
          </cell>
          <cell r="K127">
            <v>311.14999999999998</v>
          </cell>
          <cell r="L127">
            <v>589.15</v>
          </cell>
          <cell r="M127">
            <v>-4.0627831828636136</v>
          </cell>
          <cell r="N127">
            <v>1732.3647335255989</v>
          </cell>
          <cell r="O127">
            <v>-42.245555555555555</v>
          </cell>
          <cell r="P127">
            <v>-4.0627831828636136</v>
          </cell>
          <cell r="Q127">
            <v>1732.3647335255989</v>
          </cell>
          <cell r="R127">
            <v>-42.245555555555555</v>
          </cell>
          <cell r="S127">
            <v>-4.0627831828636136</v>
          </cell>
          <cell r="T127">
            <v>1732.3647335255989</v>
          </cell>
          <cell r="U127">
            <v>-42.245555555555555</v>
          </cell>
          <cell r="V127">
            <v>-3.7799999999999896E-2</v>
          </cell>
          <cell r="W127">
            <v>54.528000000000006</v>
          </cell>
          <cell r="X127">
            <v>-4.5000000000000037E-5</v>
          </cell>
          <cell r="Y127">
            <v>7.9700000000000007E-2</v>
          </cell>
          <cell r="Z127">
            <v>8.9999999999999694E-4</v>
          </cell>
          <cell r="AA127">
            <v>0.41600000000000065</v>
          </cell>
        </row>
        <row r="128">
          <cell r="A128" t="str">
            <v>Multitherm IG-2</v>
          </cell>
          <cell r="B128" t="str">
            <v>Mobil Oil</v>
          </cell>
          <cell r="C128" t="str">
            <v>Paraffinic Oil</v>
          </cell>
          <cell r="D128">
            <v>65</v>
          </cell>
          <cell r="E128">
            <v>315</v>
          </cell>
          <cell r="F128"/>
          <cell r="G128"/>
          <cell r="H128"/>
          <cell r="I128"/>
          <cell r="J128">
            <v>316</v>
          </cell>
          <cell r="K128">
            <v>339.15</v>
          </cell>
          <cell r="L128">
            <v>589.15</v>
          </cell>
          <cell r="M128">
            <v>-6.0906499993194263</v>
          </cell>
          <cell r="N128">
            <v>2264.4091010222819</v>
          </cell>
          <cell r="O128">
            <v>-63.356666666666676</v>
          </cell>
          <cell r="P128">
            <v>-6.0906499993194263</v>
          </cell>
          <cell r="Q128">
            <v>2264.4091010222819</v>
          </cell>
          <cell r="R128">
            <v>-63.356666666666676</v>
          </cell>
          <cell r="S128">
            <v>-6.0906499993194263</v>
          </cell>
          <cell r="T128">
            <v>2264.4091010222819</v>
          </cell>
          <cell r="U128">
            <v>-63.356666666666676</v>
          </cell>
          <cell r="V128">
            <v>-5.3999999999998972E-2</v>
          </cell>
          <cell r="W128">
            <v>57.439999999999777</v>
          </cell>
          <cell r="X128">
            <v>-4.9499999999999543E-5</v>
          </cell>
          <cell r="Y128">
            <v>7.9353333333333234E-2</v>
          </cell>
          <cell r="Z128">
            <v>1.0170000000000038E-3</v>
          </cell>
          <cell r="AA128">
            <v>0.44374666666666585</v>
          </cell>
        </row>
        <row r="129">
          <cell r="A129" t="str">
            <v>Multitherm PG-1</v>
          </cell>
          <cell r="B129" t="str">
            <v>Mobil Oil</v>
          </cell>
          <cell r="C129" t="str">
            <v>Paraffinic Oil</v>
          </cell>
          <cell r="D129">
            <v>65</v>
          </cell>
          <cell r="E129">
            <v>290</v>
          </cell>
          <cell r="F129"/>
          <cell r="G129"/>
          <cell r="H129"/>
          <cell r="I129"/>
          <cell r="J129">
            <v>316</v>
          </cell>
          <cell r="K129">
            <v>339.15</v>
          </cell>
          <cell r="L129">
            <v>561.15</v>
          </cell>
          <cell r="M129">
            <v>-4.0569760081349653</v>
          </cell>
          <cell r="N129">
            <v>1730.3339235058379</v>
          </cell>
          <cell r="O129">
            <v>-36.967777777777776</v>
          </cell>
          <cell r="P129">
            <v>-4.0569760081349653</v>
          </cell>
          <cell r="Q129">
            <v>1730.3339235058379</v>
          </cell>
          <cell r="R129">
            <v>-36.967777777777776</v>
          </cell>
          <cell r="S129">
            <v>-4.0569760081349653</v>
          </cell>
          <cell r="T129">
            <v>1730.3339235058379</v>
          </cell>
          <cell r="U129">
            <v>-36.967777777777776</v>
          </cell>
          <cell r="V129">
            <v>-2.1599999999999796E-2</v>
          </cell>
          <cell r="W129">
            <v>53.81600000000001</v>
          </cell>
          <cell r="X129">
            <v>-4.1399999999999441E-5</v>
          </cell>
          <cell r="Y129">
            <v>7.7763999999999889E-2</v>
          </cell>
          <cell r="Z129">
            <v>8.8199999999999878E-4</v>
          </cell>
          <cell r="AA129">
            <v>0.42668000000000028</v>
          </cell>
        </row>
        <row r="130">
          <cell r="A130" t="str">
            <v>Nitrogen</v>
          </cell>
          <cell r="B130"/>
          <cell r="C130"/>
          <cell r="D130">
            <v>-209</v>
          </cell>
          <cell r="E130">
            <v>-162</v>
          </cell>
          <cell r="F130"/>
          <cell r="G130">
            <v>6.6978922976585773</v>
          </cell>
          <cell r="H130">
            <v>283.58600571532315</v>
          </cell>
          <cell r="I130">
            <v>269.68615798586711</v>
          </cell>
          <cell r="J130">
            <v>41</v>
          </cell>
          <cell r="K130">
            <v>77.650000000000006</v>
          </cell>
          <cell r="L130">
            <v>99.872222222222206</v>
          </cell>
          <cell r="M130">
            <v>-4.6339697921551615</v>
          </cell>
          <cell r="N130">
            <v>207.12313028033546</v>
          </cell>
          <cell r="O130">
            <v>-1.7650730617647183</v>
          </cell>
          <cell r="P130">
            <v>-9.6102908637989835</v>
          </cell>
          <cell r="Q130">
            <v>1685.916217327989</v>
          </cell>
          <cell r="R130">
            <v>141.13654807741244</v>
          </cell>
          <cell r="S130">
            <v>-0.49991684445066031</v>
          </cell>
          <cell r="T130">
            <v>164.78105778225714</v>
          </cell>
          <cell r="U130">
            <v>-177.77826103342215</v>
          </cell>
          <cell r="V130">
            <v>-0.38414125874126914</v>
          </cell>
          <cell r="W130">
            <v>-25.155917560219471</v>
          </cell>
          <cell r="X130">
            <v>-1.1464615384615782E-3</v>
          </cell>
          <cell r="Y130">
            <v>-0.14091784615385344</v>
          </cell>
          <cell r="Z130">
            <v>1.996895306859391E-3</v>
          </cell>
          <cell r="AA130">
            <v>0.88955548736465673</v>
          </cell>
        </row>
        <row r="131">
          <cell r="A131" t="str">
            <v>Oxygen</v>
          </cell>
          <cell r="B131"/>
          <cell r="C131"/>
          <cell r="D131">
            <v>-217</v>
          </cell>
          <cell r="E131">
            <v>-145</v>
          </cell>
          <cell r="F131"/>
          <cell r="G131">
            <v>6.7766226941284016</v>
          </cell>
          <cell r="H131">
            <v>333.76929869145164</v>
          </cell>
          <cell r="I131">
            <v>268.2275170235751</v>
          </cell>
          <cell r="J131">
            <v>33</v>
          </cell>
          <cell r="K131">
            <v>77.650000000000006</v>
          </cell>
          <cell r="L131">
            <v>99.872222222222206</v>
          </cell>
          <cell r="M131">
            <v>-3.5469841153106327</v>
          </cell>
          <cell r="N131">
            <v>138.00463553960779</v>
          </cell>
          <cell r="O131">
            <v>-15.138929966594931</v>
          </cell>
          <cell r="P131">
            <v>-4.747339623324387</v>
          </cell>
          <cell r="Q131">
            <v>333.93721928647244</v>
          </cell>
          <cell r="R131">
            <v>20.335162000674796</v>
          </cell>
          <cell r="S131">
            <v>-18.420838208084046</v>
          </cell>
          <cell r="T131">
            <v>11679.299833561887</v>
          </cell>
          <cell r="U131">
            <v>610.05053904213207</v>
          </cell>
          <cell r="V131">
            <v>-0.31760357142857315</v>
          </cell>
          <cell r="W131">
            <v>12.611716071428249</v>
          </cell>
          <cell r="X131">
            <v>-8.2125000000000492E-4</v>
          </cell>
          <cell r="Y131">
            <v>-6.2329375000000894E-2</v>
          </cell>
          <cell r="Z131">
            <v>5.7034285714288699E-4</v>
          </cell>
          <cell r="AA131">
            <v>0.51780012380952944</v>
          </cell>
        </row>
        <row r="132">
          <cell r="A132" t="str">
            <v>Paratherm HE</v>
          </cell>
          <cell r="B132" t="str">
            <v>Paratherm Corp.</v>
          </cell>
          <cell r="C132" t="str">
            <v>Paraffinic hydrocarbon (single cut)</v>
          </cell>
          <cell r="D132">
            <v>66</v>
          </cell>
          <cell r="E132">
            <v>316</v>
          </cell>
          <cell r="F132"/>
          <cell r="G132">
            <v>6.3786308247187744</v>
          </cell>
          <cell r="H132">
            <v>1795.7247634640537</v>
          </cell>
          <cell r="I132">
            <v>64.442528065093057</v>
          </cell>
          <cell r="J132">
            <v>316</v>
          </cell>
          <cell r="K132">
            <v>344.26111111111106</v>
          </cell>
          <cell r="L132">
            <v>399.81666666666661</v>
          </cell>
          <cell r="M132">
            <v>-5.5060484889477745</v>
          </cell>
          <cell r="N132">
            <v>1646.5133789396332</v>
          </cell>
          <cell r="O132">
            <v>-130.51906084598917</v>
          </cell>
          <cell r="P132">
            <v>-4.0205843929352652</v>
          </cell>
          <cell r="Q132">
            <v>989.09517417325253</v>
          </cell>
          <cell r="R132">
            <v>-185.18655946401114</v>
          </cell>
          <cell r="S132">
            <v>-14.55539148894758</v>
          </cell>
          <cell r="T132">
            <v>14570.946777044719</v>
          </cell>
          <cell r="U132">
            <v>562.39526989042224</v>
          </cell>
          <cell r="V132">
            <v>-4.7124000000000041E-2</v>
          </cell>
          <cell r="W132">
            <v>56.015582857142867</v>
          </cell>
          <cell r="X132">
            <v>-4.3817142857142657E-5</v>
          </cell>
          <cell r="Y132">
            <v>7.77981714285714E-2</v>
          </cell>
          <cell r="Z132">
            <v>9.8177142857142508E-4</v>
          </cell>
          <cell r="AA132">
            <v>0.44941085714285778</v>
          </cell>
        </row>
        <row r="133">
          <cell r="A133" t="str">
            <v>Paratherm NF</v>
          </cell>
          <cell r="B133" t="str">
            <v>Paratherm Corp.</v>
          </cell>
          <cell r="C133" t="str">
            <v>USP Hydrotreated hydrocarbon (non-toxic)</v>
          </cell>
          <cell r="D133">
            <v>49</v>
          </cell>
          <cell r="E133">
            <v>316</v>
          </cell>
          <cell r="F133"/>
          <cell r="G133">
            <v>10.391956630687536</v>
          </cell>
          <cell r="H133">
            <v>5614.6195929457654</v>
          </cell>
          <cell r="I133">
            <v>385.87572740803301</v>
          </cell>
          <cell r="J133">
            <v>299</v>
          </cell>
          <cell r="K133">
            <v>338.70555555555552</v>
          </cell>
          <cell r="L133">
            <v>449.81666666666661</v>
          </cell>
          <cell r="M133">
            <v>-1.0010253070384536</v>
          </cell>
          <cell r="N133">
            <v>330.31953617556348</v>
          </cell>
          <cell r="O133">
            <v>-223.10101879359243</v>
          </cell>
          <cell r="P133">
            <v>-2.2044494466247029</v>
          </cell>
          <cell r="Q133">
            <v>643.31678487490194</v>
          </cell>
          <cell r="R133">
            <v>-180.28231085563306</v>
          </cell>
          <cell r="S133">
            <v>-13.107084248064245</v>
          </cell>
          <cell r="T133">
            <v>19002.011442370316</v>
          </cell>
          <cell r="U133">
            <v>980.0449630702899</v>
          </cell>
          <cell r="V133">
            <v>-2.5235382857142767E-2</v>
          </cell>
          <cell r="W133">
            <v>54.798650971428557</v>
          </cell>
          <cell r="X133">
            <v>-4.1039999999999926E-5</v>
          </cell>
          <cell r="Y133">
            <v>7.7650399999999981E-2</v>
          </cell>
          <cell r="Z133">
            <v>8.5988571428571403E-4</v>
          </cell>
          <cell r="AA133">
            <v>0.43165828571428572</v>
          </cell>
        </row>
        <row r="134">
          <cell r="A134" t="str">
            <v>Paratherm OR</v>
          </cell>
          <cell r="B134" t="str">
            <v>Paratherm Corp.</v>
          </cell>
          <cell r="C134" t="str">
            <v>Natural hydrocarbon</v>
          </cell>
          <cell r="D134">
            <v>49</v>
          </cell>
          <cell r="E134">
            <v>316</v>
          </cell>
          <cell r="F134"/>
          <cell r="G134">
            <v>8.475457572499943</v>
          </cell>
          <cell r="H134">
            <v>3516.6221403918407</v>
          </cell>
          <cell r="I134">
            <v>258.22796895307738</v>
          </cell>
          <cell r="J134">
            <v>299</v>
          </cell>
          <cell r="K134">
            <v>366.48333333333329</v>
          </cell>
          <cell r="L134">
            <v>477.59444444444443</v>
          </cell>
          <cell r="M134">
            <v>-2.4154077942585959</v>
          </cell>
          <cell r="N134">
            <v>735.77397604910357</v>
          </cell>
          <cell r="O134">
            <v>-188.9870312779739</v>
          </cell>
          <cell r="P134">
            <v>-46.670575320631869</v>
          </cell>
          <cell r="Q134">
            <v>97568.790987633402</v>
          </cell>
          <cell r="R134">
            <v>1649.3816445013522</v>
          </cell>
          <cell r="S134">
            <v>19.176511653462995</v>
          </cell>
          <cell r="T134">
            <v>31694.983401173897</v>
          </cell>
          <cell r="U134">
            <v>-2064.3254931770925</v>
          </cell>
          <cell r="V134">
            <v>-4.0611702857142801E-2</v>
          </cell>
          <cell r="W134">
            <v>55.844059885714266</v>
          </cell>
          <cell r="X134">
            <v>-1.0439999999999977E-4</v>
          </cell>
          <cell r="Y134">
            <v>9.5043999999999962E-2</v>
          </cell>
          <cell r="Z134">
            <v>1.0933714285714271E-3</v>
          </cell>
          <cell r="AA134">
            <v>0.42183771428571465</v>
          </cell>
        </row>
        <row r="135">
          <cell r="A135" t="str">
            <v>Propane</v>
          </cell>
          <cell r="B135"/>
          <cell r="C135"/>
          <cell r="D135">
            <v>-123</v>
          </cell>
          <cell r="E135">
            <v>38</v>
          </cell>
          <cell r="F135"/>
          <cell r="G135">
            <v>6.9368130372388332</v>
          </cell>
          <cell r="H135">
            <v>861.45754889475688</v>
          </cell>
          <cell r="I135">
            <v>254.45757353927803</v>
          </cell>
          <cell r="J135">
            <v>127</v>
          </cell>
          <cell r="K135">
            <v>213.70555555555552</v>
          </cell>
          <cell r="L135">
            <v>269.26111111111106</v>
          </cell>
          <cell r="M135">
            <v>-4.401330614886084</v>
          </cell>
          <cell r="N135">
            <v>754.82237245276826</v>
          </cell>
          <cell r="O135">
            <v>39.587192681891594</v>
          </cell>
          <cell r="P135">
            <v>-8.3767744209418407</v>
          </cell>
          <cell r="Q135">
            <v>4035.2506695849574</v>
          </cell>
          <cell r="R135">
            <v>366.44833788882863</v>
          </cell>
          <cell r="S135">
            <v>3.5791724859432223</v>
          </cell>
          <cell r="T135">
            <v>3170.822885424433</v>
          </cell>
          <cell r="U135">
            <v>-834.64016929599882</v>
          </cell>
          <cell r="V135">
            <v>-8.1307826086956525E-2</v>
          </cell>
          <cell r="W135">
            <v>32.369537888198757</v>
          </cell>
          <cell r="X135">
            <v>-3.3360000000000009E-4</v>
          </cell>
          <cell r="Y135">
            <v>6.2321714285714286E-2</v>
          </cell>
          <cell r="Z135">
            <v>1.1390845360824747E-3</v>
          </cell>
          <cell r="AA135">
            <v>0.60176173195876292</v>
          </cell>
        </row>
        <row r="136">
          <cell r="A136" t="str">
            <v>Propylene</v>
          </cell>
          <cell r="B136"/>
          <cell r="C136"/>
          <cell r="D136">
            <v>-73</v>
          </cell>
          <cell r="E136">
            <v>38</v>
          </cell>
          <cell r="F136"/>
          <cell r="G136">
            <v>6.9542351019372699</v>
          </cell>
          <cell r="H136">
            <v>845.06173466295843</v>
          </cell>
          <cell r="I136">
            <v>255.15255212231713</v>
          </cell>
          <cell r="J136">
            <v>177</v>
          </cell>
          <cell r="K136">
            <v>233.15</v>
          </cell>
          <cell r="L136">
            <v>277.59444444444443</v>
          </cell>
          <cell r="M136">
            <v>-5.8872568200913467</v>
          </cell>
          <cell r="N136">
            <v>1418.4838823126622</v>
          </cell>
          <cell r="O136">
            <v>116.48258989805896</v>
          </cell>
          <cell r="P136">
            <v>-5.4075221383313128</v>
          </cell>
          <cell r="Q136">
            <v>1135.0065065443207</v>
          </cell>
          <cell r="R136">
            <v>84.127083054600675</v>
          </cell>
          <cell r="S136">
            <v>0.19871303600708501</v>
          </cell>
          <cell r="T136">
            <v>557.86739843579687</v>
          </cell>
          <cell r="U136">
            <v>-503.59403353884153</v>
          </cell>
          <cell r="V136">
            <v>-0.10032281879194636</v>
          </cell>
          <cell r="W136">
            <v>33.264496644295299</v>
          </cell>
          <cell r="X136">
            <v>-3.0442953020134224E-4</v>
          </cell>
          <cell r="Y136">
            <v>7.2037583892617454E-2</v>
          </cell>
          <cell r="Z136">
            <v>1.6576510067114096E-3</v>
          </cell>
          <cell r="AA136">
            <v>0.56514720357941839</v>
          </cell>
        </row>
        <row r="137">
          <cell r="A137" t="str">
            <v>Refrigerant R-11</v>
          </cell>
          <cell r="B137"/>
          <cell r="C137" t="str">
            <v>trichlorofluoromethane</v>
          </cell>
          <cell r="D137">
            <v>-29</v>
          </cell>
          <cell r="E137">
            <v>149</v>
          </cell>
          <cell r="F137"/>
          <cell r="G137">
            <v>6.9168303817835621</v>
          </cell>
          <cell r="H137">
            <v>1057.8972986257131</v>
          </cell>
          <cell r="I137">
            <v>238.37995872914109</v>
          </cell>
          <cell r="J137">
            <v>221</v>
          </cell>
          <cell r="K137">
            <v>283.14999999999998</v>
          </cell>
          <cell r="L137">
            <v>338.70555555555552</v>
          </cell>
          <cell r="M137">
            <v>7.8001919508532458</v>
          </cell>
          <cell r="N137">
            <v>6075.8897807313324</v>
          </cell>
          <cell r="O137">
            <v>-999.3812283898942</v>
          </cell>
          <cell r="P137">
            <v>-21.058678719344861</v>
          </cell>
          <cell r="Q137">
            <v>35051.584400871528</v>
          </cell>
          <cell r="R137">
            <v>1437.1114700419907</v>
          </cell>
          <cell r="S137">
            <v>-9.480373999633338</v>
          </cell>
          <cell r="T137">
            <v>5957.2131349541105</v>
          </cell>
          <cell r="U137">
            <v>391.34674520508099</v>
          </cell>
          <cell r="V137">
            <v>-0.17418870626197466</v>
          </cell>
          <cell r="W137">
            <v>96.043136936573561</v>
          </cell>
          <cell r="X137">
            <v>-1.3610446707673694E-4</v>
          </cell>
          <cell r="Y137">
            <v>5.5398233336694573E-2</v>
          </cell>
          <cell r="Z137">
            <v>2.6891262392597409E-4</v>
          </cell>
          <cell r="AA137">
            <v>0.20534085393258431</v>
          </cell>
        </row>
        <row r="138">
          <cell r="A138" t="str">
            <v>Refrigerant R-113</v>
          </cell>
          <cell r="B138"/>
          <cell r="C138" t="str">
            <v>1,1,2-Trichloro-1,2,2-trifluorethane</v>
          </cell>
          <cell r="D138">
            <v>4</v>
          </cell>
          <cell r="E138">
            <v>177</v>
          </cell>
          <cell r="F138"/>
          <cell r="G138">
            <v>6.8750915529166825</v>
          </cell>
          <cell r="H138">
            <v>1107.1592138891071</v>
          </cell>
          <cell r="I138">
            <v>229.6097293439316</v>
          </cell>
          <cell r="J138">
            <v>254</v>
          </cell>
          <cell r="K138">
            <v>316.48333333333329</v>
          </cell>
          <cell r="L138">
            <v>338.70555555555552</v>
          </cell>
          <cell r="M138">
            <v>-6.5904104127722842</v>
          </cell>
          <cell r="N138">
            <v>3072.2118439005694</v>
          </cell>
          <cell r="O138">
            <v>196.28692028093047</v>
          </cell>
          <cell r="P138">
            <v>-6.8262374896718736</v>
          </cell>
          <cell r="Q138">
            <v>3335.0522107908137</v>
          </cell>
          <cell r="R138">
            <v>219.07639761978888</v>
          </cell>
          <cell r="S138">
            <v>-5.9585040362071329</v>
          </cell>
          <cell r="T138">
            <v>2441.1157747638922</v>
          </cell>
          <cell r="U138">
            <v>138.87714672389714</v>
          </cell>
          <cell r="V138">
            <v>-0.18137985084390904</v>
          </cell>
          <cell r="W138">
            <v>102.39881420908017</v>
          </cell>
          <cell r="X138">
            <v>-1.0052492476776128E-4</v>
          </cell>
          <cell r="Y138">
            <v>4.7313151903702728E-2</v>
          </cell>
          <cell r="Z138">
            <v>4.8077875179903325E-4</v>
          </cell>
          <cell r="AA138">
            <v>0.21286892319769712</v>
          </cell>
        </row>
        <row r="139">
          <cell r="A139" t="str">
            <v>Refrigerant R-114</v>
          </cell>
          <cell r="B139"/>
          <cell r="C139" t="str">
            <v>1,2-Dichloro-1,1,2,2-tetrafluoroethane</v>
          </cell>
          <cell r="D139">
            <v>-40</v>
          </cell>
          <cell r="E139">
            <v>121</v>
          </cell>
          <cell r="F139"/>
          <cell r="G139">
            <v>6.8852795284831938</v>
          </cell>
          <cell r="H139">
            <v>962.49615866450824</v>
          </cell>
          <cell r="I139">
            <v>236.6229008780434</v>
          </cell>
          <cell r="J139">
            <v>210</v>
          </cell>
          <cell r="K139">
            <v>272.03888888888889</v>
          </cell>
          <cell r="L139">
            <v>294.26111111111106</v>
          </cell>
          <cell r="M139">
            <v>23.813421437555284</v>
          </cell>
          <cell r="N139">
            <v>44690.336257888484</v>
          </cell>
          <cell r="O139">
            <v>-2095.4235545501733</v>
          </cell>
          <cell r="P139">
            <v>-18.858065443940649</v>
          </cell>
          <cell r="Q139">
            <v>24547.382918627129</v>
          </cell>
          <cell r="R139">
            <v>1079.5450341278849</v>
          </cell>
          <cell r="S139">
            <v>-10.698843305634282</v>
          </cell>
          <cell r="T139">
            <v>7170.1958564452098</v>
          </cell>
          <cell r="U139">
            <v>444.25413089431743</v>
          </cell>
          <cell r="V139">
            <v>-0.19693068249258167</v>
          </cell>
          <cell r="W139">
            <v>93.119122848664702</v>
          </cell>
          <cell r="X139">
            <v>-1.4035727002967356E-4</v>
          </cell>
          <cell r="Y139">
            <v>4.0840308605341248E-2</v>
          </cell>
          <cell r="Z139">
            <v>6.8951216617210687E-4</v>
          </cell>
          <cell r="AA139">
            <v>0.22272381008902076</v>
          </cell>
        </row>
        <row r="140">
          <cell r="A140" t="str">
            <v>Refrigerant R-12</v>
          </cell>
          <cell r="B140"/>
          <cell r="C140" t="str">
            <v>dichlorodifluoromethane</v>
          </cell>
          <cell r="D140">
            <v>-68</v>
          </cell>
          <cell r="E140">
            <v>68</v>
          </cell>
          <cell r="F140"/>
          <cell r="G140">
            <v>7.1902068432792108</v>
          </cell>
          <cell r="H140">
            <v>1033.1476317771617</v>
          </cell>
          <cell r="I140">
            <v>269.95486290358389</v>
          </cell>
          <cell r="J140">
            <v>182</v>
          </cell>
          <cell r="K140">
            <v>241.48333333333332</v>
          </cell>
          <cell r="L140">
            <v>283.14999999999998</v>
          </cell>
          <cell r="M140">
            <v>22.093586590290712</v>
          </cell>
          <cell r="N140">
            <v>45728.098438589055</v>
          </cell>
          <cell r="O140">
            <v>-2221.4140788876898</v>
          </cell>
          <cell r="P140">
            <v>-10.313475541983248</v>
          </cell>
          <cell r="Q140">
            <v>7478.0547553026609</v>
          </cell>
          <cell r="R140">
            <v>561.6366194336839</v>
          </cell>
          <cell r="S140">
            <v>-7.2519763704036322</v>
          </cell>
          <cell r="T140">
            <v>3165.6855817676164</v>
          </cell>
          <cell r="U140">
            <v>263.55284070155415</v>
          </cell>
          <cell r="V140">
            <v>-0.21137486095661834</v>
          </cell>
          <cell r="W140">
            <v>86.177977117432064</v>
          </cell>
          <cell r="X140">
            <v>-2.1175528364849832E-4</v>
          </cell>
          <cell r="Y140">
            <v>4.4802583823295723E-2</v>
          </cell>
          <cell r="Z140">
            <v>5.5075194660734106E-4</v>
          </cell>
          <cell r="AA140">
            <v>0.23042882250119182</v>
          </cell>
        </row>
        <row r="141">
          <cell r="A141" t="str">
            <v>Refrigerant R-123</v>
          </cell>
          <cell r="B141"/>
          <cell r="C141" t="str">
            <v>2,2-Dichloro-1,1,1-trifluoroethane</v>
          </cell>
          <cell r="D141">
            <v>-40</v>
          </cell>
          <cell r="E141">
            <v>79</v>
          </cell>
          <cell r="F141"/>
          <cell r="G141">
            <v>7.0597322572535255</v>
          </cell>
          <cell r="H141">
            <v>1111.4371634751471</v>
          </cell>
          <cell r="I141">
            <v>238.08829447326642</v>
          </cell>
          <cell r="J141">
            <v>210</v>
          </cell>
          <cell r="K141">
            <v>283.14999999999998</v>
          </cell>
          <cell r="L141">
            <v>310.92777777777775</v>
          </cell>
          <cell r="M141">
            <v>-4.3757539522366811</v>
          </cell>
          <cell r="N141">
            <v>1109.4865956085825</v>
          </cell>
          <cell r="O141">
            <v>17.830749073823288</v>
          </cell>
          <cell r="P141">
            <v>-5.3179352394818817</v>
          </cell>
          <cell r="Q141">
            <v>1767.558019611728</v>
          </cell>
          <cell r="R141">
            <v>98.742393497666455</v>
          </cell>
          <cell r="S141">
            <v>-10.669823481728525</v>
          </cell>
          <cell r="T141">
            <v>8874.7062055984352</v>
          </cell>
          <cell r="U141">
            <v>607.16336012196359</v>
          </cell>
          <cell r="V141">
            <v>-0.16073999999999974</v>
          </cell>
          <cell r="W141">
            <v>95.127399999999994</v>
          </cell>
          <cell r="X141">
            <v>-1.6787213114754078E-4</v>
          </cell>
          <cell r="Y141">
            <v>4.8514786885245902E-2</v>
          </cell>
          <cell r="Z141">
            <v>7.5270857142857117E-4</v>
          </cell>
          <cell r="AA141">
            <v>0.21366577142857146</v>
          </cell>
        </row>
        <row r="142">
          <cell r="A142" t="str">
            <v>Refrigerant R-124</v>
          </cell>
          <cell r="B142"/>
          <cell r="C142" t="str">
            <v>2-Chloro-1,1,1,2-tetrafluoroethane</v>
          </cell>
          <cell r="D142">
            <v>-73</v>
          </cell>
          <cell r="E142">
            <v>110</v>
          </cell>
          <cell r="F142"/>
          <cell r="G142">
            <v>7.123003221442449</v>
          </cell>
          <cell r="H142">
            <v>997.05935964489663</v>
          </cell>
          <cell r="I142">
            <v>247.01971220946911</v>
          </cell>
          <cell r="J142">
            <v>177</v>
          </cell>
          <cell r="K142">
            <v>244.26111111111109</v>
          </cell>
          <cell r="L142">
            <v>288.70555555555552</v>
          </cell>
          <cell r="M142">
            <v>-3.3542497000145621</v>
          </cell>
          <cell r="N142">
            <v>506.08474296832054</v>
          </cell>
          <cell r="O142">
            <v>-54.047049499629559</v>
          </cell>
          <cell r="P142">
            <v>-5.3109579384690884</v>
          </cell>
          <cell r="Q142">
            <v>1533.2562993717534</v>
          </cell>
          <cell r="R142">
            <v>87.805562089538824</v>
          </cell>
          <cell r="S142">
            <v>5.3688678330979585</v>
          </cell>
          <cell r="T142">
            <v>4029.4259781682235</v>
          </cell>
          <cell r="U142">
            <v>-898.52684756236613</v>
          </cell>
          <cell r="V142">
            <v>-0.18594642857142865</v>
          </cell>
          <cell r="W142">
            <v>88.841785714285706</v>
          </cell>
          <cell r="X142">
            <v>-2.0555357142857143E-4</v>
          </cell>
          <cell r="Y142">
            <v>5.2101071428571427E-2</v>
          </cell>
          <cell r="Z142">
            <v>5.0673214285714265E-4</v>
          </cell>
          <cell r="AA142">
            <v>0.2585067857142857</v>
          </cell>
        </row>
        <row r="143">
          <cell r="A143" t="str">
            <v>Refrigerant R-13</v>
          </cell>
          <cell r="B143"/>
          <cell r="C143" t="str">
            <v>chlorotrifluoromethane</v>
          </cell>
          <cell r="D143">
            <v>-68</v>
          </cell>
          <cell r="E143">
            <v>2</v>
          </cell>
          <cell r="F143"/>
          <cell r="G143">
            <v>6.979147224635506</v>
          </cell>
          <cell r="H143">
            <v>729.49301387681351</v>
          </cell>
          <cell r="I143">
            <v>259.64365090582004</v>
          </cell>
          <cell r="J143">
            <v>182</v>
          </cell>
          <cell r="K143">
            <v>222.03888888888886</v>
          </cell>
          <cell r="L143">
            <v>244.26111111111109</v>
          </cell>
          <cell r="M143">
            <v>-6.037007267118077</v>
          </cell>
          <cell r="N143">
            <v>1116.4925642688522</v>
          </cell>
          <cell r="O143">
            <v>32.28739410879092</v>
          </cell>
          <cell r="P143">
            <v>-5.6011530958703339</v>
          </cell>
          <cell r="Q143">
            <v>946.07633994562002</v>
          </cell>
          <cell r="R143">
            <v>17.222941550505237</v>
          </cell>
          <cell r="S143">
            <v>-4.6837569828382968</v>
          </cell>
          <cell r="T143">
            <v>528.20484857010888</v>
          </cell>
          <cell r="U143">
            <v>-48.680919527517382</v>
          </cell>
          <cell r="V143">
            <v>-0.31606054054054061</v>
          </cell>
          <cell r="W143">
            <v>70.924389189189171</v>
          </cell>
          <cell r="X143">
            <v>-2.3847567567567528E-4</v>
          </cell>
          <cell r="Y143">
            <v>2.9914486486486511E-2</v>
          </cell>
          <cell r="Z143">
            <v>1.850716216216216E-3</v>
          </cell>
          <cell r="AA143">
            <v>0.29107932432432432</v>
          </cell>
        </row>
        <row r="144">
          <cell r="A144" t="str">
            <v>Refrigerant R-134a</v>
          </cell>
          <cell r="B144"/>
          <cell r="C144" t="str">
            <v>1,1,1,2-Tetrafluoroethane</v>
          </cell>
          <cell r="D144">
            <v>-101</v>
          </cell>
          <cell r="E144">
            <v>99</v>
          </cell>
          <cell r="F144"/>
          <cell r="G144">
            <v>7.3552511232886584</v>
          </cell>
          <cell r="H144">
            <v>1021.1561610603403</v>
          </cell>
          <cell r="I144">
            <v>254.04186204603789</v>
          </cell>
          <cell r="J144">
            <v>149</v>
          </cell>
          <cell r="K144">
            <v>249.81666666666663</v>
          </cell>
          <cell r="L144">
            <v>297.03888888888889</v>
          </cell>
          <cell r="M144">
            <v>-4.2068213513245025</v>
          </cell>
          <cell r="N144">
            <v>767.64202403554998</v>
          </cell>
          <cell r="O144">
            <v>-14.910866675539264</v>
          </cell>
          <cell r="P144">
            <v>-7.2462091139107034</v>
          </cell>
          <cell r="Q144">
            <v>2861.6777703689081</v>
          </cell>
          <cell r="R144">
            <v>203.89508750173434</v>
          </cell>
          <cell r="S144">
            <v>1.8292301548443664</v>
          </cell>
          <cell r="T144">
            <v>1035.5313998162419</v>
          </cell>
          <cell r="U144">
            <v>-604.98028690750937</v>
          </cell>
          <cell r="V144">
            <v>-0.23123366675440907</v>
          </cell>
          <cell r="W144">
            <v>79.242863121874194</v>
          </cell>
          <cell r="X144">
            <v>-2.6629007633587791E-4</v>
          </cell>
          <cell r="Y144">
            <v>5.4020916030534355E-2</v>
          </cell>
          <cell r="Z144">
            <v>1.198911818899711E-3</v>
          </cell>
          <cell r="AA144">
            <v>0.34229748354830219</v>
          </cell>
        </row>
        <row r="145">
          <cell r="A145" t="str">
            <v>Refrigerant R-152a</v>
          </cell>
          <cell r="B145"/>
          <cell r="C145" t="str">
            <v>1,1-Difluoroethane</v>
          </cell>
          <cell r="D145">
            <v>-62</v>
          </cell>
          <cell r="E145">
            <v>66</v>
          </cell>
          <cell r="F145"/>
          <cell r="G145">
            <v>7.1108755392188598</v>
          </cell>
          <cell r="H145">
            <v>930.74732430800645</v>
          </cell>
          <cell r="I145">
            <v>244.02151140344145</v>
          </cell>
          <cell r="J145">
            <v>188</v>
          </cell>
          <cell r="K145">
            <v>280.37222222222221</v>
          </cell>
          <cell r="L145">
            <v>308.14999999999998</v>
          </cell>
          <cell r="M145">
            <v>-5.8721208805155038</v>
          </cell>
          <cell r="N145">
            <v>1685.3535961936125</v>
          </cell>
          <cell r="O145">
            <v>115.93638605157727</v>
          </cell>
          <cell r="P145">
            <v>-9.7055267668914667</v>
          </cell>
          <cell r="Q145">
            <v>6013.1052218880759</v>
          </cell>
          <cell r="R145">
            <v>463.26852250423076</v>
          </cell>
          <cell r="S145">
            <v>-21.506641122450063</v>
          </cell>
          <cell r="T145">
            <v>36775.226174513002</v>
          </cell>
          <cell r="U145">
            <v>1568.5217748194011</v>
          </cell>
          <cell r="V145">
            <v>-0.1589142857142857</v>
          </cell>
          <cell r="W145">
            <v>59.770571428571422</v>
          </cell>
          <cell r="X145">
            <v>-3.2605714285714271E-4</v>
          </cell>
          <cell r="Y145">
            <v>6.6783428571428577E-2</v>
          </cell>
          <cell r="Z145">
            <v>1.226314285714286E-3</v>
          </cell>
          <cell r="AA145">
            <v>0.40922542857142852</v>
          </cell>
        </row>
        <row r="146">
          <cell r="A146" t="str">
            <v>Refrigerant R-22</v>
          </cell>
          <cell r="B146"/>
          <cell r="C146" t="str">
            <v>chlorodifluoromethane</v>
          </cell>
          <cell r="D146">
            <v>-18</v>
          </cell>
          <cell r="E146">
            <v>38</v>
          </cell>
          <cell r="F146"/>
          <cell r="G146">
            <v>7.1204031315346903</v>
          </cell>
          <cell r="H146">
            <v>888.88597507867826</v>
          </cell>
          <cell r="I146">
            <v>250.51614630319605</v>
          </cell>
          <cell r="J146">
            <v>232</v>
          </cell>
          <cell r="K146">
            <v>266.48333333333329</v>
          </cell>
          <cell r="L146">
            <v>288.70555555555552</v>
          </cell>
          <cell r="M146">
            <v>2.4723246047116181</v>
          </cell>
          <cell r="N146">
            <v>1420.8151871138766</v>
          </cell>
          <cell r="O146">
            <v>-625.19372009223048</v>
          </cell>
          <cell r="P146">
            <v>308.01555458629389</v>
          </cell>
          <cell r="Q146">
            <v>8833842.7363420147</v>
          </cell>
          <cell r="R146">
            <v>-28808.405533961679</v>
          </cell>
          <cell r="S146">
            <v>-8.6801420798857745</v>
          </cell>
          <cell r="T146">
            <v>4348.3355936322669</v>
          </cell>
          <cell r="U146">
            <v>336.91762172471692</v>
          </cell>
          <cell r="V146">
            <v>-0.20206285714285779</v>
          </cell>
          <cell r="W146">
            <v>79.572057142857133</v>
          </cell>
          <cell r="X146">
            <v>-2.5440000000000011E-4</v>
          </cell>
          <cell r="Y146">
            <v>5.5791619047619034E-2</v>
          </cell>
          <cell r="Z146">
            <v>3.7306285714285459E-4</v>
          </cell>
          <cell r="AA146">
            <v>0.2789365142857142</v>
          </cell>
        </row>
        <row r="147">
          <cell r="A147" t="str">
            <v>Steam</v>
          </cell>
          <cell r="B147"/>
          <cell r="C147"/>
          <cell r="D147" t="e">
            <v>#REF!</v>
          </cell>
          <cell r="E147" t="e">
            <v>#REF!</v>
          </cell>
          <cell r="F147"/>
          <cell r="G147"/>
          <cell r="H147"/>
          <cell r="I147"/>
          <cell r="J147">
            <v>343</v>
          </cell>
          <cell r="K147">
            <v>366.15</v>
          </cell>
          <cell r="L147">
            <v>505.15</v>
          </cell>
          <cell r="M147"/>
          <cell r="N147"/>
          <cell r="O147"/>
          <cell r="P147"/>
          <cell r="Q147"/>
          <cell r="R147"/>
          <cell r="S147"/>
          <cell r="T147"/>
          <cell r="U147"/>
          <cell r="V147"/>
          <cell r="W147"/>
          <cell r="X147"/>
          <cell r="Y147"/>
          <cell r="Z147"/>
          <cell r="AA147"/>
        </row>
        <row r="148">
          <cell r="A148" t="str">
            <v>Syltherm 800</v>
          </cell>
          <cell r="B148" t="str">
            <v>Dow Chemical Co.</v>
          </cell>
          <cell r="C148" t="str">
            <v>Polydimethyl-siloxane</v>
          </cell>
          <cell r="D148">
            <v>-40</v>
          </cell>
          <cell r="E148">
            <v>400</v>
          </cell>
          <cell r="F148"/>
          <cell r="G148">
            <v>5.8117646978190818</v>
          </cell>
          <cell r="H148">
            <v>912.31448598651889</v>
          </cell>
          <cell r="I148">
            <v>107.05698841121973</v>
          </cell>
          <cell r="J148">
            <v>210</v>
          </cell>
          <cell r="K148">
            <v>313.14999999999998</v>
          </cell>
          <cell r="L148">
            <v>473.15</v>
          </cell>
          <cell r="M148">
            <v>-1.7705273484767732</v>
          </cell>
          <cell r="N148">
            <v>853.43517417951614</v>
          </cell>
          <cell r="O148">
            <v>-83.512026874865299</v>
          </cell>
          <cell r="P148">
            <v>-5.4903241313778919</v>
          </cell>
          <cell r="Q148">
            <v>3473.9100898999282</v>
          </cell>
          <cell r="R148">
            <v>154.00984985044767</v>
          </cell>
          <cell r="S148">
            <v>-6.6368058759640833</v>
          </cell>
          <cell r="T148">
            <v>4892.0880092746866</v>
          </cell>
          <cell r="U148">
            <v>258.58550718702833</v>
          </cell>
          <cell r="V148">
            <v>-6.3229591836734669E-2</v>
          </cell>
          <cell r="W148">
            <v>60.122959183673473</v>
          </cell>
          <cell r="X148">
            <v>-1.0864285714285705E-4</v>
          </cell>
          <cell r="Y148">
            <v>8.0175714285714267E-2</v>
          </cell>
          <cell r="Z148">
            <v>4.0775510204081665E-4</v>
          </cell>
          <cell r="AA148">
            <v>0.37631020408163263</v>
          </cell>
        </row>
        <row r="149">
          <cell r="A149" t="str">
            <v>Syltherm HF</v>
          </cell>
          <cell r="B149" t="str">
            <v>Dow Chemical Co.</v>
          </cell>
          <cell r="C149" t="str">
            <v>Polydimethyl-siloxane</v>
          </cell>
          <cell r="D149">
            <v>-73</v>
          </cell>
          <cell r="E149">
            <v>260</v>
          </cell>
          <cell r="F149"/>
          <cell r="G149">
            <v>6.8655941686800208</v>
          </cell>
          <cell r="H149">
            <v>1633.6465679772678</v>
          </cell>
          <cell r="I149">
            <v>199.83867308369608</v>
          </cell>
          <cell r="J149">
            <v>177</v>
          </cell>
          <cell r="K149">
            <v>273.14999999999998</v>
          </cell>
          <cell r="L149">
            <v>393.15</v>
          </cell>
          <cell r="M149">
            <v>-4.144509541128186</v>
          </cell>
          <cell r="N149">
            <v>1401.1967566694325</v>
          </cell>
          <cell r="O149">
            <v>1.5933315417883445</v>
          </cell>
          <cell r="P149">
            <v>-4.0500734248878452</v>
          </cell>
          <cell r="Q149">
            <v>1357.6747341244873</v>
          </cell>
          <cell r="R149">
            <v>-1.9180122487932505</v>
          </cell>
          <cell r="S149">
            <v>-4.1859019490283362</v>
          </cell>
          <cell r="T149">
            <v>1443.6865838381625</v>
          </cell>
          <cell r="U149">
            <v>7.197524494113603</v>
          </cell>
          <cell r="V149">
            <v>-6.3101652892561991E-2</v>
          </cell>
          <cell r="W149">
            <v>55.684902794175514</v>
          </cell>
          <cell r="X149">
            <v>-1.4329338842975208E-4</v>
          </cell>
          <cell r="Y149">
            <v>6.4680484061393151E-2</v>
          </cell>
          <cell r="Z149">
            <v>5.8760330578512445E-4</v>
          </cell>
          <cell r="AA149">
            <v>0.39034238488783934</v>
          </cell>
        </row>
        <row r="150">
          <cell r="A150" t="str">
            <v>Syltherm XLT</v>
          </cell>
          <cell r="B150" t="str">
            <v>Dow Chemical Co.</v>
          </cell>
          <cell r="C150" t="str">
            <v>Polydimethyl-siloxane</v>
          </cell>
          <cell r="D150">
            <v>-100</v>
          </cell>
          <cell r="E150">
            <v>260</v>
          </cell>
          <cell r="F150"/>
          <cell r="G150">
            <v>6.5980162685789967</v>
          </cell>
          <cell r="H150">
            <v>1332.0465837471763</v>
          </cell>
          <cell r="I150">
            <v>183.05286082845134</v>
          </cell>
          <cell r="J150">
            <v>150</v>
          </cell>
          <cell r="K150">
            <v>223.15</v>
          </cell>
          <cell r="L150">
            <v>343.15</v>
          </cell>
          <cell r="M150">
            <v>-0.68700724971012583</v>
          </cell>
          <cell r="N150">
            <v>271.84534584080996</v>
          </cell>
          <cell r="O150">
            <v>-119.33393342142597</v>
          </cell>
          <cell r="P150">
            <v>-4.3098751100021548</v>
          </cell>
          <cell r="Q150">
            <v>1293.9531018438793</v>
          </cell>
          <cell r="R150">
            <v>-15.832118919267511</v>
          </cell>
          <cell r="S150">
            <v>-3.7276260275391668</v>
          </cell>
          <cell r="T150">
            <v>952.21651019831631</v>
          </cell>
          <cell r="U150">
            <v>-60.672892921579837</v>
          </cell>
          <cell r="V150">
            <v>-6.4206123448726324E-2</v>
          </cell>
          <cell r="W150">
            <v>54.739670640104514</v>
          </cell>
          <cell r="X150">
            <v>-1.3677971913781837E-4</v>
          </cell>
          <cell r="Y150">
            <v>6.5903394839973872E-2</v>
          </cell>
          <cell r="Z150">
            <v>5.0302416721097383E-4</v>
          </cell>
          <cell r="AA150">
            <v>0.4133583932070542</v>
          </cell>
        </row>
        <row r="151">
          <cell r="A151" t="str">
            <v>Syntrel 350</v>
          </cell>
          <cell r="B151" t="str">
            <v>Exxon</v>
          </cell>
          <cell r="C151" t="str">
            <v>Diaryl Alkane</v>
          </cell>
          <cell r="D151">
            <v>-15</v>
          </cell>
          <cell r="E151">
            <v>370</v>
          </cell>
          <cell r="F151"/>
          <cell r="G151">
            <v>-6.1189695629003751</v>
          </cell>
          <cell r="H151">
            <v>9252.9493871199611</v>
          </cell>
          <cell r="I151">
            <v>-1386.666654137709</v>
          </cell>
          <cell r="J151">
            <v>232</v>
          </cell>
          <cell r="K151">
            <v>255.15</v>
          </cell>
          <cell r="L151">
            <v>644.15</v>
          </cell>
          <cell r="M151">
            <v>-2.353653010268729</v>
          </cell>
          <cell r="N151">
            <v>814.25616199853596</v>
          </cell>
          <cell r="O151">
            <v>-47.523333333333333</v>
          </cell>
          <cell r="P151">
            <v>-2.353653010268729</v>
          </cell>
          <cell r="Q151">
            <v>814.25616199853596</v>
          </cell>
          <cell r="R151">
            <v>-47.523333333333333</v>
          </cell>
          <cell r="S151">
            <v>-2.353653010268729</v>
          </cell>
          <cell r="T151">
            <v>814.25616199853596</v>
          </cell>
          <cell r="U151">
            <v>-47.523333333333333</v>
          </cell>
          <cell r="V151">
            <v>0</v>
          </cell>
          <cell r="W151">
            <v>0</v>
          </cell>
          <cell r="X151">
            <v>-1.0800000000000261E-5</v>
          </cell>
          <cell r="Y151">
            <v>7.2908000000000084E-2</v>
          </cell>
          <cell r="Z151">
            <v>7.3799999999998736E-4</v>
          </cell>
          <cell r="AA151">
            <v>0.35012000000000404</v>
          </cell>
        </row>
        <row r="152">
          <cell r="A152" t="str">
            <v>Thermalane 550</v>
          </cell>
          <cell r="B152" t="str">
            <v>Coastal</v>
          </cell>
          <cell r="C152" t="str">
            <v>Synthetic Paraffin</v>
          </cell>
          <cell r="D152">
            <v>-15</v>
          </cell>
          <cell r="E152">
            <v>290</v>
          </cell>
          <cell r="F152"/>
          <cell r="G152"/>
          <cell r="H152"/>
          <cell r="I152"/>
          <cell r="J152">
            <v>232</v>
          </cell>
          <cell r="K152">
            <v>255.15</v>
          </cell>
          <cell r="L152">
            <v>561.15</v>
          </cell>
          <cell r="M152">
            <v>-4.8307549791657083</v>
          </cell>
          <cell r="N152">
            <v>2072.6948435115646</v>
          </cell>
          <cell r="O152">
            <v>-47.523333333333333</v>
          </cell>
          <cell r="P152">
            <v>-4.8307549791657083</v>
          </cell>
          <cell r="Q152">
            <v>2072.6948435115646</v>
          </cell>
          <cell r="R152">
            <v>-47.523333333333333</v>
          </cell>
          <cell r="S152">
            <v>-4.8307549791657083</v>
          </cell>
          <cell r="T152">
            <v>2072.6948435115646</v>
          </cell>
          <cell r="U152">
            <v>-47.523333333333333</v>
          </cell>
          <cell r="V152">
            <v>-4.2300000000000414E-2</v>
          </cell>
          <cell r="W152">
            <v>53.314666666666753</v>
          </cell>
          <cell r="X152">
            <v>-4.2300000000000337E-5</v>
          </cell>
          <cell r="Y152">
            <v>8.361466666666674E-2</v>
          </cell>
          <cell r="Z152">
            <v>8.0099999999999573E-4</v>
          </cell>
          <cell r="AA152">
            <v>0.47657333333333418</v>
          </cell>
        </row>
        <row r="153">
          <cell r="A153" t="str">
            <v>Thermalane 600</v>
          </cell>
          <cell r="B153" t="str">
            <v>Coastal</v>
          </cell>
          <cell r="C153" t="str">
            <v>Synthetic Paraffin</v>
          </cell>
          <cell r="D153">
            <v>-15</v>
          </cell>
          <cell r="E153">
            <v>300</v>
          </cell>
          <cell r="F153"/>
          <cell r="G153">
            <v>-9.7136764058587595</v>
          </cell>
          <cell r="H153">
            <v>13239.233601729715</v>
          </cell>
          <cell r="I153">
            <v>-1474.1302959323718</v>
          </cell>
          <cell r="J153">
            <v>232</v>
          </cell>
          <cell r="K153">
            <v>255.15</v>
          </cell>
          <cell r="L153">
            <v>575.15</v>
          </cell>
          <cell r="M153">
            <v>-3.6820899706598769</v>
          </cell>
          <cell r="N153">
            <v>1543.2522962624225</v>
          </cell>
          <cell r="O153">
            <v>-63.356666666666676</v>
          </cell>
          <cell r="P153">
            <v>-3.6820899706598769</v>
          </cell>
          <cell r="Q153">
            <v>1543.2522962624225</v>
          </cell>
          <cell r="R153">
            <v>-63.356666666666676</v>
          </cell>
          <cell r="S153">
            <v>-3.6820899706598769</v>
          </cell>
          <cell r="T153">
            <v>1543.2522962624225</v>
          </cell>
          <cell r="U153">
            <v>-63.356666666666676</v>
          </cell>
          <cell r="V153">
            <v>-4.1400000000000076E-2</v>
          </cell>
          <cell r="W153">
            <v>52.263999999999996</v>
          </cell>
          <cell r="X153">
            <v>-3.5999999999999784E-5</v>
          </cell>
          <cell r="Y153">
            <v>9.035999999999994E-2</v>
          </cell>
          <cell r="Z153">
            <v>7.9200000000001275E-4</v>
          </cell>
          <cell r="AA153">
            <v>0.49107999999999674</v>
          </cell>
        </row>
        <row r="154">
          <cell r="A154" t="str">
            <v>Thermalane 800</v>
          </cell>
          <cell r="B154" t="str">
            <v>Coastal</v>
          </cell>
          <cell r="C154" t="str">
            <v>Synthetic Paraffin</v>
          </cell>
          <cell r="D154">
            <v>-15</v>
          </cell>
          <cell r="E154">
            <v>330</v>
          </cell>
          <cell r="F154"/>
          <cell r="G154">
            <v>-4.0034133638484137</v>
          </cell>
          <cell r="H154">
            <v>2418.4396262099854</v>
          </cell>
          <cell r="I154">
            <v>-714.68197833494594</v>
          </cell>
          <cell r="J154">
            <v>232</v>
          </cell>
          <cell r="K154">
            <v>255.15</v>
          </cell>
          <cell r="L154">
            <v>602.15</v>
          </cell>
          <cell r="M154">
            <v>-3.5147338426215251</v>
          </cell>
          <cell r="N154">
            <v>1449.3845745072617</v>
          </cell>
          <cell r="O154">
            <v>-42.245555555555555</v>
          </cell>
          <cell r="P154">
            <v>-3.5147338426215251</v>
          </cell>
          <cell r="Q154">
            <v>1449.3845745072617</v>
          </cell>
          <cell r="R154">
            <v>-42.245555555555555</v>
          </cell>
          <cell r="S154">
            <v>-3.5147338426215251</v>
          </cell>
          <cell r="T154">
            <v>1449.3845745072617</v>
          </cell>
          <cell r="U154">
            <v>-42.245555555555555</v>
          </cell>
          <cell r="V154">
            <v>-4.1399999999998993E-2</v>
          </cell>
          <cell r="W154">
            <v>51.663999999999675</v>
          </cell>
          <cell r="X154">
            <v>-6.299999999999878E-5</v>
          </cell>
          <cell r="Y154">
            <v>8.8979999999999601E-2</v>
          </cell>
          <cell r="Z154">
            <v>7.7400000000000721E-4</v>
          </cell>
          <cell r="AA154">
            <v>0.50575999999999766</v>
          </cell>
        </row>
        <row r="155">
          <cell r="A155" t="str">
            <v>Thermalane FG-1</v>
          </cell>
          <cell r="B155" t="str">
            <v>Coastal</v>
          </cell>
          <cell r="C155" t="str">
            <v>Paraffinic Oil</v>
          </cell>
          <cell r="D155">
            <v>40</v>
          </cell>
          <cell r="E155">
            <v>290</v>
          </cell>
          <cell r="F155"/>
          <cell r="G155"/>
          <cell r="H155"/>
          <cell r="I155"/>
          <cell r="J155">
            <v>288</v>
          </cell>
          <cell r="K155">
            <v>311.14999999999998</v>
          </cell>
          <cell r="L155">
            <v>561.15</v>
          </cell>
          <cell r="M155">
            <v>-4.009146115878206</v>
          </cell>
          <cell r="N155">
            <v>1688.4504560317382</v>
          </cell>
          <cell r="O155">
            <v>-42.245555555555555</v>
          </cell>
          <cell r="P155">
            <v>-4.009146115878206</v>
          </cell>
          <cell r="Q155">
            <v>1688.4504560317382</v>
          </cell>
          <cell r="R155">
            <v>-42.245555555555555</v>
          </cell>
          <cell r="S155">
            <v>-4.009146115878206</v>
          </cell>
          <cell r="T155">
            <v>1688.4504560317382</v>
          </cell>
          <cell r="U155">
            <v>-42.245555555555555</v>
          </cell>
          <cell r="V155">
            <v>-2.7E-2</v>
          </cell>
          <cell r="W155">
            <v>55.12</v>
          </cell>
          <cell r="X155">
            <v>-4.4100000000000137E-5</v>
          </cell>
          <cell r="Y155">
            <v>7.6982666666666699E-2</v>
          </cell>
          <cell r="Z155">
            <v>7.5600000000000472E-4</v>
          </cell>
          <cell r="AA155">
            <v>0.4534399999999989</v>
          </cell>
        </row>
        <row r="156">
          <cell r="A156" t="str">
            <v>Thermalane L</v>
          </cell>
          <cell r="B156" t="str">
            <v>Coastal</v>
          </cell>
          <cell r="C156" t="str">
            <v>Synthetic Paraffin</v>
          </cell>
          <cell r="D156">
            <v>-50</v>
          </cell>
          <cell r="E156">
            <v>260</v>
          </cell>
          <cell r="F156"/>
          <cell r="G156"/>
          <cell r="H156"/>
          <cell r="I156"/>
          <cell r="J156">
            <v>204</v>
          </cell>
          <cell r="K156">
            <v>227.15</v>
          </cell>
          <cell r="L156">
            <v>533.15</v>
          </cell>
          <cell r="M156">
            <v>-3.9975250251180019</v>
          </cell>
          <cell r="N156">
            <v>1403.3558709966032</v>
          </cell>
          <cell r="O156">
            <v>-31.69</v>
          </cell>
          <cell r="P156">
            <v>-3.9975250251180019</v>
          </cell>
          <cell r="Q156">
            <v>1403.3558709966032</v>
          </cell>
          <cell r="R156">
            <v>-31.69</v>
          </cell>
          <cell r="S156">
            <v>-3.9975250251180019</v>
          </cell>
          <cell r="T156">
            <v>1403.3558709966032</v>
          </cell>
          <cell r="U156">
            <v>-31.69</v>
          </cell>
          <cell r="V156">
            <v>-4.1399999999999694E-2</v>
          </cell>
          <cell r="W156">
            <v>50.16399999999993</v>
          </cell>
          <cell r="X156">
            <v>-5.7600000000000655E-5</v>
          </cell>
          <cell r="Y156">
            <v>8.3976000000000148E-2</v>
          </cell>
          <cell r="Z156">
            <v>9.0899999999999185E-4</v>
          </cell>
          <cell r="AA156">
            <v>0.49116000000000176</v>
          </cell>
        </row>
        <row r="157">
          <cell r="A157" t="str">
            <v>Therminol 55</v>
          </cell>
          <cell r="B157" t="str">
            <v>Solutia</v>
          </cell>
          <cell r="C157" t="str">
            <v>Synthetic hydrocarbon mixture</v>
          </cell>
          <cell r="D157">
            <v>-25</v>
          </cell>
          <cell r="E157">
            <v>290</v>
          </cell>
          <cell r="F157"/>
          <cell r="G157">
            <v>8.3340102733725114</v>
          </cell>
          <cell r="H157">
            <v>3504.4447483200292</v>
          </cell>
          <cell r="I157">
            <v>291.61983090852044</v>
          </cell>
          <cell r="J157">
            <v>225</v>
          </cell>
          <cell r="K157">
            <v>311.14999999999998</v>
          </cell>
          <cell r="L157">
            <v>422.15</v>
          </cell>
          <cell r="M157">
            <v>-4.2611882327448489</v>
          </cell>
          <cell r="N157">
            <v>1211.5028948676584</v>
          </cell>
          <cell r="O157">
            <v>-141.57412353266415</v>
          </cell>
          <cell r="P157">
            <v>-2.7891693658845966</v>
          </cell>
          <cell r="Q157">
            <v>737.5114082948669</v>
          </cell>
          <cell r="R157">
            <v>-181.13001549925403</v>
          </cell>
          <cell r="S157">
            <v>-5.5338570660395847</v>
          </cell>
          <cell r="T157">
            <v>2828.8477497910294</v>
          </cell>
          <cell r="U157">
            <v>65.191886217808019</v>
          </cell>
          <cell r="V157">
            <v>-4.4110512188575229E-2</v>
          </cell>
          <cell r="W157">
            <v>55.318079636904912</v>
          </cell>
          <cell r="X157">
            <v>-6.7521534369585967E-5</v>
          </cell>
          <cell r="Y157">
            <v>7.5585244381542682E-2</v>
          </cell>
          <cell r="Z157">
            <v>8.4307361948219868E-4</v>
          </cell>
          <cell r="AA157">
            <v>0.43896783875454476</v>
          </cell>
        </row>
        <row r="158">
          <cell r="A158" t="str">
            <v>Therminol 59</v>
          </cell>
          <cell r="B158" t="str">
            <v>Solutia</v>
          </cell>
          <cell r="C158" t="str">
            <v>Alkyl substituted aromatic</v>
          </cell>
          <cell r="D158">
            <v>-45.555555555555557</v>
          </cell>
          <cell r="E158">
            <v>315.55555555555554</v>
          </cell>
          <cell r="F158"/>
          <cell r="G158">
            <v>7.1741312791748308</v>
          </cell>
          <cell r="H158">
            <v>2227.2260012780798</v>
          </cell>
          <cell r="I158">
            <v>229.6273264312369</v>
          </cell>
          <cell r="J158">
            <v>207.44444444444446</v>
          </cell>
          <cell r="K158">
            <v>366.48333333333329</v>
          </cell>
          <cell r="L158">
            <v>477.59444444444443</v>
          </cell>
          <cell r="M158">
            <v>-2.2784337182235195</v>
          </cell>
          <cell r="N158">
            <v>520.78455065584183</v>
          </cell>
          <cell r="O158">
            <v>-169.75404284351643</v>
          </cell>
          <cell r="P158">
            <v>-3.9078330419168759</v>
          </cell>
          <cell r="Q158">
            <v>1301.2952149269154</v>
          </cell>
          <cell r="R158">
            <v>-62.201630132756392</v>
          </cell>
          <cell r="S158">
            <v>-4.4369061020006555</v>
          </cell>
          <cell r="T158">
            <v>1760.1330942766285</v>
          </cell>
          <cell r="U158">
            <v>3.0852263061517124</v>
          </cell>
          <cell r="V158">
            <v>-4.8738857142857132E-2</v>
          </cell>
          <cell r="W158">
            <v>61.901245714285714</v>
          </cell>
          <cell r="X158">
            <v>-6.0841203303798569E-5</v>
          </cell>
          <cell r="Y158">
            <v>7.1641404209359424E-2</v>
          </cell>
          <cell r="Z158">
            <v>7.9907142857142883E-4</v>
          </cell>
          <cell r="AA158">
            <v>0.38545571428571429</v>
          </cell>
        </row>
        <row r="159">
          <cell r="A159" t="str">
            <v>Therminol 66</v>
          </cell>
          <cell r="B159" t="str">
            <v>Solutia</v>
          </cell>
          <cell r="C159" t="str">
            <v>Modified terphenyl</v>
          </cell>
          <cell r="D159">
            <v>0</v>
          </cell>
          <cell r="E159">
            <v>345</v>
          </cell>
          <cell r="F159"/>
          <cell r="G159">
            <v>8.4667056690690981</v>
          </cell>
          <cell r="H159">
            <v>3872.8528171243424</v>
          </cell>
          <cell r="I159">
            <v>334.52430537492603</v>
          </cell>
          <cell r="J159">
            <v>250</v>
          </cell>
          <cell r="K159">
            <v>311.14999999999998</v>
          </cell>
          <cell r="L159">
            <v>477.15</v>
          </cell>
          <cell r="M159">
            <v>-2.3049582232317691</v>
          </cell>
          <cell r="N159">
            <v>578.1392449829732</v>
          </cell>
          <cell r="O159">
            <v>-211.8045569756986</v>
          </cell>
          <cell r="P159">
            <v>-2.7536112145738989</v>
          </cell>
          <cell r="Q159">
            <v>718.92918985969197</v>
          </cell>
          <cell r="R159">
            <v>-196.45417290370676</v>
          </cell>
          <cell r="S159">
            <v>-3.2464614801699057</v>
          </cell>
          <cell r="T159">
            <v>999.64032085391182</v>
          </cell>
          <cell r="U159">
            <v>-149.83795095665678</v>
          </cell>
          <cell r="V159">
            <v>-4.5356886353551465E-2</v>
          </cell>
          <cell r="W159">
            <v>63.93935245632413</v>
          </cell>
          <cell r="X159">
            <v>-4.9106468922547717E-5</v>
          </cell>
          <cell r="Y159">
            <v>6.9291355976010882E-2</v>
          </cell>
          <cell r="Z159">
            <v>8.6642436607669692E-4</v>
          </cell>
          <cell r="AA159">
            <v>0.35530193870969229</v>
          </cell>
        </row>
        <row r="160">
          <cell r="A160" t="str">
            <v>Therminol 75</v>
          </cell>
          <cell r="B160" t="str">
            <v>Solutia</v>
          </cell>
          <cell r="C160" t="str">
            <v>Terphynyl/quaterphenyl</v>
          </cell>
          <cell r="D160">
            <v>70</v>
          </cell>
          <cell r="E160">
            <v>370</v>
          </cell>
          <cell r="F160"/>
          <cell r="G160">
            <v>11.022058328842261</v>
          </cell>
          <cell r="H160">
            <v>8165.1256575693133</v>
          </cell>
          <cell r="I160">
            <v>621.08086917792093</v>
          </cell>
          <cell r="J160">
            <v>320</v>
          </cell>
          <cell r="K160">
            <v>343.15</v>
          </cell>
          <cell r="L160">
            <v>643.15</v>
          </cell>
          <cell r="M160">
            <v>-3.907</v>
          </cell>
          <cell r="N160">
            <v>1712.6</v>
          </cell>
          <cell r="O160">
            <v>-52.8</v>
          </cell>
          <cell r="P160">
            <v>-3.907</v>
          </cell>
          <cell r="Q160">
            <v>1712.6</v>
          </cell>
          <cell r="R160">
            <v>-52.8</v>
          </cell>
          <cell r="S160">
            <v>-3.907</v>
          </cell>
          <cell r="T160">
            <v>1712.6</v>
          </cell>
          <cell r="U160">
            <v>-52.8</v>
          </cell>
          <cell r="V160">
            <v>-4.5899999999999996E-2</v>
          </cell>
          <cell r="W160">
            <v>70.316999999999993</v>
          </cell>
          <cell r="X160">
            <v>-6.2100000000000005E-5</v>
          </cell>
          <cell r="Y160">
            <v>8.4662670000000009E-2</v>
          </cell>
          <cell r="Z160">
            <v>6.3000000000000003E-4</v>
          </cell>
          <cell r="AA160">
            <v>0.35919999999999996</v>
          </cell>
        </row>
        <row r="161">
          <cell r="A161" t="str">
            <v>Therminol D-12</v>
          </cell>
          <cell r="B161" t="str">
            <v>Solutia</v>
          </cell>
          <cell r="C161" t="str">
            <v>Synthetic hydrocarbons</v>
          </cell>
          <cell r="D161">
            <v>-85</v>
          </cell>
          <cell r="E161">
            <v>260</v>
          </cell>
          <cell r="F161"/>
          <cell r="G161">
            <v>6.7956680379770669</v>
          </cell>
          <cell r="H161">
            <v>1494.0091658378144</v>
          </cell>
          <cell r="I161">
            <v>189.60846112681418</v>
          </cell>
          <cell r="J161">
            <v>165</v>
          </cell>
          <cell r="K161">
            <v>233.15</v>
          </cell>
          <cell r="L161">
            <v>344.15</v>
          </cell>
          <cell r="M161">
            <v>-2.736556853755022</v>
          </cell>
          <cell r="N161">
            <v>470.26096701449359</v>
          </cell>
          <cell r="O161">
            <v>-132.90255254380205</v>
          </cell>
          <cell r="P161">
            <v>-2.861055548703141</v>
          </cell>
          <cell r="Q161">
            <v>516.62519235410514</v>
          </cell>
          <cell r="R161">
            <v>-125.86620227152316</v>
          </cell>
          <cell r="S161">
            <v>-5.2147797989399178</v>
          </cell>
          <cell r="T161">
            <v>1969.2452096338493</v>
          </cell>
          <cell r="U161">
            <v>73.020236730318231</v>
          </cell>
          <cell r="V161">
            <v>-5.0520966588300617E-2</v>
          </cell>
          <cell r="W161">
            <v>48.219778291901946</v>
          </cell>
          <cell r="X161">
            <v>-1.0138191826793947E-4</v>
          </cell>
          <cell r="Y161">
            <v>6.4315973091978007E-2</v>
          </cell>
          <cell r="Z161">
            <v>1.0089119996619898E-3</v>
          </cell>
          <cell r="AA161">
            <v>0.48119203201438965</v>
          </cell>
        </row>
        <row r="162">
          <cell r="A162" t="str">
            <v>Therminol FS, 20 wt% pg</v>
          </cell>
          <cell r="B162" t="str">
            <v>Solutia</v>
          </cell>
          <cell r="C162" t="str">
            <v>Propylene Glycol</v>
          </cell>
          <cell r="D162">
            <v>0</v>
          </cell>
          <cell r="E162">
            <v>120</v>
          </cell>
          <cell r="F162"/>
          <cell r="G162"/>
          <cell r="H162"/>
          <cell r="I162"/>
          <cell r="J162">
            <v>250</v>
          </cell>
          <cell r="K162">
            <v>310.92777777777775</v>
          </cell>
          <cell r="L162">
            <v>355.37222222222221</v>
          </cell>
          <cell r="M162">
            <v>-2.469002354644029</v>
          </cell>
          <cell r="N162">
            <v>351.27166038534676</v>
          </cell>
          <cell r="O162">
            <v>-182.32121946097035</v>
          </cell>
          <cell r="P162">
            <v>-3.421738530807489</v>
          </cell>
          <cell r="Q162">
            <v>508.57447472543015</v>
          </cell>
          <cell r="R162">
            <v>-172.88209800529725</v>
          </cell>
          <cell r="S162">
            <v>-4.569389076404379</v>
          </cell>
          <cell r="T162">
            <v>1034.100151134968</v>
          </cell>
          <cell r="U162">
            <v>-92.544083564689899</v>
          </cell>
          <cell r="V162">
            <v>-4.0499999999999488E-2</v>
          </cell>
          <cell r="W162">
            <v>64.69666666666663</v>
          </cell>
          <cell r="X162">
            <v>3.7928571428571314E-4</v>
          </cell>
          <cell r="Y162">
            <v>0.27681428571428573</v>
          </cell>
          <cell r="Z162">
            <v>4.4999999999999641E-4</v>
          </cell>
          <cell r="AA162">
            <v>0.94300000000000006</v>
          </cell>
        </row>
        <row r="163">
          <cell r="A163" t="str">
            <v>Therminol FS, 30 wt% pg</v>
          </cell>
          <cell r="B163" t="str">
            <v>Solutia</v>
          </cell>
          <cell r="C163" t="str">
            <v>Propylene Glycol</v>
          </cell>
          <cell r="D163">
            <v>-10</v>
          </cell>
          <cell r="E163">
            <v>120</v>
          </cell>
          <cell r="F163"/>
          <cell r="G163"/>
          <cell r="H163"/>
          <cell r="I163"/>
          <cell r="J163">
            <v>240</v>
          </cell>
          <cell r="K163">
            <v>310.92777777777775</v>
          </cell>
          <cell r="L163">
            <v>355.37222222222221</v>
          </cell>
          <cell r="M163">
            <v>-2.2022553949555324</v>
          </cell>
          <cell r="N163">
            <v>310.95163430951095</v>
          </cell>
          <cell r="O163">
            <v>-197.14626543179011</v>
          </cell>
          <cell r="P163">
            <v>-3.2655181434737566</v>
          </cell>
          <cell r="Q163">
            <v>519.14917843248099</v>
          </cell>
          <cell r="R163">
            <v>-174.17088684761484</v>
          </cell>
          <cell r="S163">
            <v>-3.1053390838724892</v>
          </cell>
          <cell r="T163">
            <v>427.41220111074017</v>
          </cell>
          <cell r="U163">
            <v>-197.35592512865526</v>
          </cell>
          <cell r="V163">
            <v>-4.0017857142857639E-2</v>
          </cell>
          <cell r="W163">
            <v>65.001071428571478</v>
          </cell>
          <cell r="X163">
            <v>2.9732142857142793E-4</v>
          </cell>
          <cell r="Y163">
            <v>0.25116071428571435</v>
          </cell>
          <cell r="Z163">
            <v>6.4285714285713773E-4</v>
          </cell>
          <cell r="AA163">
            <v>0.90714285714285747</v>
          </cell>
        </row>
        <row r="164">
          <cell r="A164" t="str">
            <v>Therminol FS, 40 wt% pg</v>
          </cell>
          <cell r="B164" t="str">
            <v>Solutia</v>
          </cell>
          <cell r="C164" t="str">
            <v>Propylene Glycol</v>
          </cell>
          <cell r="D164">
            <v>-20</v>
          </cell>
          <cell r="E164">
            <v>120</v>
          </cell>
          <cell r="F164"/>
          <cell r="G164"/>
          <cell r="H164"/>
          <cell r="I164"/>
          <cell r="J164">
            <v>230</v>
          </cell>
          <cell r="K164">
            <v>299.81666666666666</v>
          </cell>
          <cell r="L164">
            <v>344.26111111111106</v>
          </cell>
          <cell r="M164">
            <v>-4.9204794804063408</v>
          </cell>
          <cell r="N164">
            <v>937.73304132701037</v>
          </cell>
          <cell r="O164">
            <v>-146.45202869108076</v>
          </cell>
          <cell r="P164">
            <v>-4.7753693640393742</v>
          </cell>
          <cell r="Q164">
            <v>1061.1362163038491</v>
          </cell>
          <cell r="R164">
            <v>-122.05082005076494</v>
          </cell>
          <cell r="S164">
            <v>-7.1073353224874865</v>
          </cell>
          <cell r="T164">
            <v>3119.6355153812256</v>
          </cell>
          <cell r="U164">
            <v>94.670692980184967</v>
          </cell>
          <cell r="V164">
            <v>-4.104576659038868E-2</v>
          </cell>
          <cell r="W164">
            <v>65.414691075514853</v>
          </cell>
          <cell r="X164">
            <v>2.496109839816938E-4</v>
          </cell>
          <cell r="Y164">
            <v>0.22511487414187642</v>
          </cell>
          <cell r="Z164">
            <v>7.6510297482837593E-4</v>
          </cell>
          <cell r="AA164">
            <v>0.86995194508009155</v>
          </cell>
        </row>
        <row r="165">
          <cell r="A165" t="str">
            <v>Therminol FS, 50 wt% pg</v>
          </cell>
          <cell r="B165" t="str">
            <v>Solutia</v>
          </cell>
          <cell r="C165" t="str">
            <v>Propylene Glycol</v>
          </cell>
          <cell r="D165">
            <v>-30</v>
          </cell>
          <cell r="E165">
            <v>120</v>
          </cell>
          <cell r="F165"/>
          <cell r="G165"/>
          <cell r="H165"/>
          <cell r="I165"/>
          <cell r="J165">
            <v>220</v>
          </cell>
          <cell r="K165">
            <v>288.70555555555552</v>
          </cell>
          <cell r="L165">
            <v>333.15</v>
          </cell>
          <cell r="M165">
            <v>-4.6111836304801717</v>
          </cell>
          <cell r="N165">
            <v>953.94793705708594</v>
          </cell>
          <cell r="O165">
            <v>-146.39000285957152</v>
          </cell>
          <cell r="P165">
            <v>-2.5364664990439385</v>
          </cell>
          <cell r="Q165">
            <v>427.28523380268751</v>
          </cell>
          <cell r="R165">
            <v>-196.38604030122542</v>
          </cell>
          <cell r="S165">
            <v>-2.9118558754327086</v>
          </cell>
          <cell r="T165">
            <v>444.86184614964043</v>
          </cell>
          <cell r="U165">
            <v>-206.03363282180288</v>
          </cell>
          <cell r="V165">
            <v>-4.2667311411992224E-2</v>
          </cell>
          <cell r="W165">
            <v>65.757911025145063</v>
          </cell>
          <cell r="X165">
            <v>1.9392649903288316E-4</v>
          </cell>
          <cell r="Y165">
            <v>0.20132185686653767</v>
          </cell>
          <cell r="Z165">
            <v>9.0000000000000019E-4</v>
          </cell>
          <cell r="AA165">
            <v>0.82600000000000018</v>
          </cell>
        </row>
        <row r="166">
          <cell r="A166" t="str">
            <v>Therminol FS, 60 wt% pg</v>
          </cell>
          <cell r="B166" t="str">
            <v>Solutia</v>
          </cell>
          <cell r="C166" t="str">
            <v>Propylene Glycol</v>
          </cell>
          <cell r="D166">
            <v>-40</v>
          </cell>
          <cell r="E166">
            <v>120</v>
          </cell>
          <cell r="F166"/>
          <cell r="G166"/>
          <cell r="H166"/>
          <cell r="I166"/>
          <cell r="J166">
            <v>210</v>
          </cell>
          <cell r="K166">
            <v>277.59444444444443</v>
          </cell>
          <cell r="L166">
            <v>322.03888888888889</v>
          </cell>
          <cell r="M166">
            <v>-7.5524302777382699</v>
          </cell>
          <cell r="N166">
            <v>1859.5575827677001</v>
          </cell>
          <cell r="O166">
            <v>-103.60766301934312</v>
          </cell>
          <cell r="P166">
            <v>-4.764058004787536</v>
          </cell>
          <cell r="Q166">
            <v>1032.8089312986342</v>
          </cell>
          <cell r="R166">
            <v>-146.8517260673093</v>
          </cell>
          <cell r="S166">
            <v>-2.9304387803787453</v>
          </cell>
          <cell r="T166">
            <v>497.43357022787455</v>
          </cell>
          <cell r="U166">
            <v>-199.57383339556952</v>
          </cell>
          <cell r="V166">
            <v>-4.3287958115183309E-2</v>
          </cell>
          <cell r="W166">
            <v>66.014904013961612</v>
          </cell>
          <cell r="X166">
            <v>1.3759162303664864E-4</v>
          </cell>
          <cell r="Y166">
            <v>0.1808858638743456</v>
          </cell>
          <cell r="Z166">
            <v>1.0248691099476442E-3</v>
          </cell>
          <cell r="AA166">
            <v>0.7775916230366493</v>
          </cell>
        </row>
        <row r="167">
          <cell r="A167" t="str">
            <v>Therminol LT</v>
          </cell>
          <cell r="B167" t="str">
            <v>Solutia</v>
          </cell>
          <cell r="C167" t="str">
            <v>Alkyl substituted aromatic</v>
          </cell>
          <cell r="D167">
            <v>-73</v>
          </cell>
          <cell r="E167">
            <v>316</v>
          </cell>
          <cell r="F167"/>
          <cell r="G167">
            <v>7.9617023751716669</v>
          </cell>
          <cell r="H167">
            <v>2229.9551363967539</v>
          </cell>
          <cell r="I167">
            <v>257.7241657443758</v>
          </cell>
          <cell r="J167">
            <v>177</v>
          </cell>
          <cell r="K167">
            <v>255.15</v>
          </cell>
          <cell r="L167">
            <v>366.15</v>
          </cell>
          <cell r="M167">
            <v>-2.4420685182390658</v>
          </cell>
          <cell r="N167">
            <v>428.33406710206737</v>
          </cell>
          <cell r="O167">
            <v>-110.19240218208283</v>
          </cell>
          <cell r="P167">
            <v>-3.6826071611286735</v>
          </cell>
          <cell r="Q167">
            <v>913.42290197572231</v>
          </cell>
          <cell r="R167">
            <v>-37.43149903349132</v>
          </cell>
          <cell r="S167">
            <v>-5.8091779931122218</v>
          </cell>
          <cell r="T167">
            <v>2909.1360965385488</v>
          </cell>
          <cell r="U167">
            <v>226.90858881050298</v>
          </cell>
          <cell r="V167">
            <v>-5.9768647811384641E-2</v>
          </cell>
          <cell r="W167">
            <v>54.906574461756257</v>
          </cell>
          <cell r="X167">
            <v>-1.1570877493285054E-4</v>
          </cell>
          <cell r="Y167">
            <v>7.4243511477682211E-2</v>
          </cell>
          <cell r="Z167">
            <v>9.4704382163531367E-4</v>
          </cell>
          <cell r="AA167">
            <v>0.41066066041993987</v>
          </cell>
        </row>
        <row r="168">
          <cell r="A168" t="str">
            <v>Therminol VP-1</v>
          </cell>
          <cell r="B168" t="str">
            <v>Solutia</v>
          </cell>
          <cell r="C168" t="str">
            <v>Biphynyl and diphenyl oxide</v>
          </cell>
          <cell r="D168">
            <v>12</v>
          </cell>
          <cell r="E168">
            <v>400</v>
          </cell>
          <cell r="F168"/>
          <cell r="G168">
            <v>7.7787779229013925</v>
          </cell>
          <cell r="H168">
            <v>2918.4908008139078</v>
          </cell>
          <cell r="I168">
            <v>237.57120000445383</v>
          </cell>
          <cell r="J168">
            <v>262</v>
          </cell>
          <cell r="K168">
            <v>366.15</v>
          </cell>
          <cell r="L168">
            <v>500.15</v>
          </cell>
          <cell r="M168">
            <v>-2.754847587544516</v>
          </cell>
          <cell r="N168">
            <v>624.23447016943067</v>
          </cell>
          <cell r="O168">
            <v>-145.05998697543538</v>
          </cell>
          <cell r="P168">
            <v>-3.8575390120909252</v>
          </cell>
          <cell r="Q168">
            <v>1232.9617264180379</v>
          </cell>
          <cell r="R168">
            <v>-52.110179609573052</v>
          </cell>
          <cell r="S168">
            <v>-4.3362674362065796</v>
          </cell>
          <cell r="T168">
            <v>1654.621263296139</v>
          </cell>
          <cell r="U168">
            <v>12.016664246726531</v>
          </cell>
          <cell r="V168">
            <v>-6.1648152880587948E-2</v>
          </cell>
          <cell r="W168">
            <v>68.396407209158269</v>
          </cell>
          <cell r="X168">
            <v>-9.3261663338718807E-5</v>
          </cell>
          <cell r="Y168">
            <v>8.24612622524072E-2</v>
          </cell>
          <cell r="Z168">
            <v>7.0049551051877014E-4</v>
          </cell>
          <cell r="AA168">
            <v>0.35299567294573209</v>
          </cell>
        </row>
        <row r="169">
          <cell r="A169" t="str">
            <v>Therminol XP</v>
          </cell>
          <cell r="B169" t="str">
            <v>Solutia</v>
          </cell>
          <cell r="C169" t="str">
            <v>White mineral oil, USP/NF</v>
          </cell>
          <cell r="D169">
            <v>-20</v>
          </cell>
          <cell r="E169">
            <v>315</v>
          </cell>
          <cell r="F169"/>
          <cell r="G169"/>
          <cell r="H169"/>
          <cell r="I169"/>
          <cell r="J169">
            <v>230</v>
          </cell>
          <cell r="K169">
            <v>310.92777777777775</v>
          </cell>
          <cell r="L169">
            <v>422.03888888888889</v>
          </cell>
          <cell r="M169">
            <v>-3.7935567834448403</v>
          </cell>
          <cell r="N169">
            <v>1031.6121902006487</v>
          </cell>
          <cell r="O169">
            <v>-161.76296160910366</v>
          </cell>
          <cell r="P169">
            <v>-2.7582050927902495</v>
          </cell>
          <cell r="Q169">
            <v>760.84202932736605</v>
          </cell>
          <cell r="R169">
            <v>-181.54541737870954</v>
          </cell>
          <cell r="S169">
            <v>-4.7525830695239479</v>
          </cell>
          <cell r="T169">
            <v>2110.0743247925434</v>
          </cell>
          <cell r="U169">
            <v>-12.955016050537809</v>
          </cell>
          <cell r="V169">
            <v>-4.1796554060594356E-2</v>
          </cell>
          <cell r="W169">
            <v>55.700545194076085</v>
          </cell>
          <cell r="X169">
            <v>-4.0760211983350974E-5</v>
          </cell>
          <cell r="Y169">
            <v>7.2693530393959913E-2</v>
          </cell>
          <cell r="Z169">
            <v>9.8209878036976082E-4</v>
          </cell>
          <cell r="AA169">
            <v>0.41695079130771462</v>
          </cell>
        </row>
        <row r="170">
          <cell r="A170" t="str">
            <v>Water</v>
          </cell>
          <cell r="B170"/>
          <cell r="C170"/>
          <cell r="D170">
            <v>0</v>
          </cell>
          <cell r="E170">
            <v>177</v>
          </cell>
          <cell r="F170"/>
          <cell r="G170">
            <v>8.0135276926186094</v>
          </cell>
          <cell r="H170">
            <v>1701.7858746742922</v>
          </cell>
          <cell r="I170">
            <v>231.46674863421325</v>
          </cell>
          <cell r="J170">
            <v>250</v>
          </cell>
          <cell r="K170">
            <v>333.15</v>
          </cell>
          <cell r="L170">
            <v>416.48333333333335</v>
          </cell>
          <cell r="M170">
            <v>-3.4101486259770528</v>
          </cell>
          <cell r="N170">
            <v>471.46028105638192</v>
          </cell>
          <cell r="O170">
            <v>-155.10904587724932</v>
          </cell>
          <cell r="P170">
            <v>-3.7915128408771146</v>
          </cell>
          <cell r="Q170">
            <v>607.61857884164237</v>
          </cell>
          <cell r="R170">
            <v>-132.57664213346609</v>
          </cell>
          <cell r="S170">
            <v>-4.2591824585090619</v>
          </cell>
          <cell r="T170">
            <v>934.87692248235976</v>
          </cell>
          <cell r="U170">
            <v>-58.001049747523858</v>
          </cell>
          <cell r="V170">
            <v>-5.6081305348533367E-2</v>
          </cell>
          <cell r="W170">
            <v>64.237845378633594</v>
          </cell>
          <cell r="X170">
            <v>1.8991439534025212E-5</v>
          </cell>
          <cell r="Y170">
            <v>0.36376031870840797</v>
          </cell>
          <cell r="Z170">
            <v>8.533775680231513E-4</v>
          </cell>
          <cell r="AA170">
            <v>0.9561565249167554</v>
          </cell>
        </row>
        <row r="171">
          <cell r="A171"/>
          <cell r="B171"/>
          <cell r="C171"/>
          <cell r="D171"/>
          <cell r="E171"/>
          <cell r="F171"/>
          <cell r="G171"/>
          <cell r="H171"/>
          <cell r="I171"/>
          <cell r="J171"/>
          <cell r="K171"/>
          <cell r="L171"/>
          <cell r="M171"/>
          <cell r="N171"/>
          <cell r="O171"/>
          <cell r="P171"/>
          <cell r="Q171"/>
          <cell r="R171"/>
          <cell r="S171"/>
          <cell r="T171"/>
          <cell r="U171"/>
          <cell r="V171"/>
          <cell r="W171"/>
          <cell r="X171"/>
          <cell r="Y171"/>
          <cell r="Z171"/>
          <cell r="AA171"/>
        </row>
      </sheetData>
      <sheetData sheetId="4">
        <row r="18">
          <cell r="B18" t="str">
            <v>volume</v>
          </cell>
          <cell r="C18" t="str">
            <v>gallons</v>
          </cell>
          <cell r="D18">
            <v>3.785412</v>
          </cell>
          <cell r="E18" t="str">
            <v>liters</v>
          </cell>
        </row>
        <row r="19">
          <cell r="B19" t="str">
            <v>length</v>
          </cell>
          <cell r="C19" t="str">
            <v>inches</v>
          </cell>
          <cell r="D19">
            <v>25.4</v>
          </cell>
          <cell r="E19" t="str">
            <v>millimeters</v>
          </cell>
        </row>
        <row r="20">
          <cell r="B20" t="str">
            <v>area</v>
          </cell>
          <cell r="C20" t="str">
            <v>in²</v>
          </cell>
          <cell r="D20">
            <v>6.4515999999999998E-4</v>
          </cell>
          <cell r="E20" t="str">
            <v>m²</v>
          </cell>
        </row>
        <row r="21">
          <cell r="B21" t="str">
            <v>heat flux</v>
          </cell>
          <cell r="C21" t="str">
            <v>Btu/ft²-hr-°F</v>
          </cell>
          <cell r="D21">
            <v>5.6782630000000003</v>
          </cell>
          <cell r="E21" t="str">
            <v>W/m²-°C</v>
          </cell>
        </row>
        <row r="22">
          <cell r="B22" t="str">
            <v>conductivity</v>
          </cell>
          <cell r="C22" t="str">
            <v>Btu/h-ft-°F</v>
          </cell>
          <cell r="D22">
            <v>1.7307349999999999</v>
          </cell>
          <cell r="E22" t="str">
            <v>W/m-°C</v>
          </cell>
        </row>
        <row r="23">
          <cell r="B23" t="str">
            <v>Heat transfer</v>
          </cell>
          <cell r="C23" t="str">
            <v>Btu/hr</v>
          </cell>
          <cell r="D23">
            <v>0.29299999999999998</v>
          </cell>
          <cell r="E23" t="str">
            <v>W</v>
          </cell>
        </row>
        <row r="24">
          <cell r="B24" t="str">
            <v>flowrate</v>
          </cell>
          <cell r="C24" t="str">
            <v>gal/min</v>
          </cell>
          <cell r="D24">
            <v>3.785412</v>
          </cell>
          <cell r="E24" t="str">
            <v>liters/min</v>
          </cell>
        </row>
        <row r="25">
          <cell r="B25" t="str">
            <v>fouling</v>
          </cell>
          <cell r="C25" t="str">
            <v>ft²-hr-°F/Btu</v>
          </cell>
          <cell r="D25">
            <v>0.17611019999999999</v>
          </cell>
          <cell r="E25" t="str">
            <v>m²-°C/W</v>
          </cell>
        </row>
        <row r="26">
          <cell r="B26" t="str">
            <v>pipe sizes</v>
          </cell>
          <cell r="C26" t="str">
            <v>inches</v>
          </cell>
          <cell r="D26"/>
          <cell r="E26" t="str">
            <v>DN</v>
          </cell>
        </row>
        <row r="27">
          <cell r="B27" t="str">
            <v>spec heat</v>
          </cell>
          <cell r="C27" t="str">
            <v>Btu/lb-°F</v>
          </cell>
          <cell r="D27">
            <v>4186.8</v>
          </cell>
          <cell r="E27" t="str">
            <v>joules/kg-°C</v>
          </cell>
        </row>
        <row r="28">
          <cell r="B28" t="str">
            <v>length</v>
          </cell>
          <cell r="C28" t="str">
            <v>feet</v>
          </cell>
          <cell r="D28">
            <v>304.8</v>
          </cell>
          <cell r="E28" t="str">
            <v>millimeters</v>
          </cell>
        </row>
        <row r="29">
          <cell r="B29" t="str">
            <v>velocity</v>
          </cell>
          <cell r="C29" t="str">
            <v>ft/sec</v>
          </cell>
          <cell r="D29">
            <v>0.30480000000000002</v>
          </cell>
          <cell r="E29" t="str">
            <v>m/sec</v>
          </cell>
        </row>
        <row r="30">
          <cell r="B30" t="str">
            <v>area</v>
          </cell>
          <cell r="C30" t="str">
            <v>ft²</v>
          </cell>
          <cell r="D30">
            <v>9.2903040000000006E-2</v>
          </cell>
          <cell r="E30" t="str">
            <v>m²</v>
          </cell>
        </row>
        <row r="31">
          <cell r="B31" t="str">
            <v>pressure</v>
          </cell>
          <cell r="C31" t="str">
            <v>psi</v>
          </cell>
          <cell r="D31">
            <v>6.8947570000000002</v>
          </cell>
          <cell r="E31" t="str">
            <v>kPa</v>
          </cell>
        </row>
        <row r="32">
          <cell r="B32" t="str">
            <v>mass flow</v>
          </cell>
          <cell r="C32" t="str">
            <v>lb/hr</v>
          </cell>
          <cell r="D32">
            <v>0.45359240000000001</v>
          </cell>
          <cell r="E32" t="str">
            <v>kg/hr</v>
          </cell>
        </row>
        <row r="33">
          <cell r="B33" t="str">
            <v>heat of vap</v>
          </cell>
          <cell r="C33" t="str">
            <v>Btu/lb</v>
          </cell>
          <cell r="D33">
            <v>2.3260000000000001</v>
          </cell>
          <cell r="E33" t="str">
            <v>kJ/kg</v>
          </cell>
        </row>
        <row r="34">
          <cell r="B34" t="str">
            <v>dynamic viscosity</v>
          </cell>
          <cell r="C34" t="str">
            <v>lb/ft-h</v>
          </cell>
          <cell r="D34">
            <v>4.1337889999999998E-4</v>
          </cell>
          <cell r="E34" t="str">
            <v>kg/m-s</v>
          </cell>
        </row>
        <row r="40">
          <cell r="A40" t="str">
            <v>304 SS</v>
          </cell>
          <cell r="B40">
            <v>4.1666666666666735E-3</v>
          </cell>
          <cell r="C40">
            <v>8.5166666666666622</v>
          </cell>
          <cell r="E40" t="str">
            <v>None</v>
          </cell>
          <cell r="F40"/>
          <cell r="G40"/>
        </row>
        <row r="41">
          <cell r="A41" t="str">
            <v>316 SS</v>
          </cell>
          <cell r="B41">
            <v>4.1666666666666735E-3</v>
          </cell>
          <cell r="C41">
            <v>8.5166666666666622</v>
          </cell>
          <cell r="E41" t="str">
            <v>304 SS</v>
          </cell>
          <cell r="F41">
            <v>4.1666666666666735E-3</v>
          </cell>
          <cell r="G41">
            <v>8.5166666666666622</v>
          </cell>
        </row>
        <row r="42">
          <cell r="A42" t="str">
            <v>carbon steel</v>
          </cell>
          <cell r="B42">
            <v>0</v>
          </cell>
          <cell r="C42">
            <v>26</v>
          </cell>
          <cell r="E42" t="str">
            <v>316 SS</v>
          </cell>
          <cell r="F42">
            <v>4.1666666666666735E-3</v>
          </cell>
          <cell r="G42">
            <v>8.5166666666666622</v>
          </cell>
        </row>
        <row r="43">
          <cell r="A43" t="str">
            <v>Hastelloy A</v>
          </cell>
          <cell r="B43">
            <v>5.5476190476190391E-3</v>
          </cell>
          <cell r="C43">
            <v>5.4058809523809561</v>
          </cell>
          <cell r="E43" t="str">
            <v>Glass</v>
          </cell>
          <cell r="F43">
            <v>0</v>
          </cell>
          <cell r="G43">
            <v>0.57999999999999996</v>
          </cell>
        </row>
        <row r="44">
          <cell r="A44" t="str">
            <v>Inconel</v>
          </cell>
          <cell r="B44">
            <v>5.2619047619047532E-3</v>
          </cell>
          <cell r="C44">
            <v>5.7675952380952431</v>
          </cell>
          <cell r="E44" t="str">
            <v>Hastelloy A</v>
          </cell>
          <cell r="F44">
            <v>5.5476190476190391E-3</v>
          </cell>
          <cell r="G44">
            <v>5.4058809523809561</v>
          </cell>
        </row>
        <row r="45">
          <cell r="A45" t="str">
            <v>Monel</v>
          </cell>
          <cell r="B45">
            <v>1.0619047619047618E-2</v>
          </cell>
          <cell r="C45">
            <v>8.6479523809523826</v>
          </cell>
          <cell r="E45" t="str">
            <v>Inconel</v>
          </cell>
          <cell r="F45">
            <v>5.2619047619047532E-3</v>
          </cell>
          <cell r="G45">
            <v>5.7675952380952431</v>
          </cell>
        </row>
        <row r="46">
          <cell r="A46" t="str">
            <v>Nickel</v>
          </cell>
          <cell r="B46">
            <v>-4.8160000000000001E-2</v>
          </cell>
          <cell r="C46">
            <v>56.494419999999998</v>
          </cell>
          <cell r="E46" t="str">
            <v>Monel</v>
          </cell>
          <cell r="F46">
            <v>1.0619047619047618E-2</v>
          </cell>
          <cell r="G46">
            <v>8.6479523809523826</v>
          </cell>
        </row>
        <row r="47">
          <cell r="A47" t="str">
            <v>Pyrex</v>
          </cell>
          <cell r="B47">
            <v>7.0600000000000003E-4</v>
          </cell>
          <cell r="C47">
            <v>0.57852599999999998</v>
          </cell>
          <cell r="E47" t="str">
            <v>Nickel</v>
          </cell>
          <cell r="F47">
            <v>-4.8160000000000001E-2</v>
          </cell>
          <cell r="G47">
            <v>56.494419999999998</v>
          </cell>
        </row>
        <row r="48">
          <cell r="A48" t="str">
            <v>Tantalum</v>
          </cell>
          <cell r="B48">
            <v>0</v>
          </cell>
          <cell r="C48">
            <v>32</v>
          </cell>
          <cell r="E48" t="str">
            <v>Rubber</v>
          </cell>
          <cell r="F48">
            <v>6.4200000000000002E-5</v>
          </cell>
          <cell r="G48">
            <v>0.121947</v>
          </cell>
        </row>
        <row r="49">
          <cell r="A49" t="str">
            <v>Titanium</v>
          </cell>
          <cell r="B49">
            <v>0</v>
          </cell>
          <cell r="C49">
            <v>10.5</v>
          </cell>
          <cell r="E49" t="str">
            <v>Tantalum</v>
          </cell>
          <cell r="F49">
            <v>0</v>
          </cell>
          <cell r="G49">
            <v>32</v>
          </cell>
        </row>
        <row r="50">
          <cell r="E50" t="str">
            <v>Teflon</v>
          </cell>
          <cell r="F50">
            <v>1.6100000000000001E-4</v>
          </cell>
          <cell r="G50">
            <v>1.2873790000000001</v>
          </cell>
        </row>
        <row r="51">
          <cell r="E51" t="str">
            <v>Titanium</v>
          </cell>
          <cell r="F51">
            <v>0</v>
          </cell>
          <cell r="G51">
            <v>10.5</v>
          </cell>
        </row>
        <row r="60">
          <cell r="A60">
            <v>2</v>
          </cell>
          <cell r="B60">
            <v>2.375</v>
          </cell>
          <cell r="C60">
            <v>0.154</v>
          </cell>
          <cell r="E60">
            <v>2</v>
          </cell>
          <cell r="F60">
            <v>50</v>
          </cell>
          <cell r="H60">
            <v>1</v>
          </cell>
          <cell r="I60">
            <v>1.3149999999999999</v>
          </cell>
          <cell r="J60">
            <v>0.13300000000000001</v>
          </cell>
          <cell r="K60"/>
          <cell r="L60">
            <v>1</v>
          </cell>
          <cell r="M60">
            <v>25</v>
          </cell>
        </row>
        <row r="61">
          <cell r="A61">
            <v>3</v>
          </cell>
          <cell r="B61">
            <v>3.5</v>
          </cell>
          <cell r="C61">
            <v>0.216</v>
          </cell>
          <cell r="E61">
            <v>3</v>
          </cell>
          <cell r="F61">
            <v>75</v>
          </cell>
          <cell r="H61">
            <v>1.5</v>
          </cell>
          <cell r="I61">
            <v>1.9</v>
          </cell>
          <cell r="J61">
            <v>0.14499999999999999</v>
          </cell>
          <cell r="K61"/>
          <cell r="L61">
            <v>1.5</v>
          </cell>
          <cell r="M61">
            <v>37</v>
          </cell>
        </row>
        <row r="62">
          <cell r="A62">
            <v>4</v>
          </cell>
          <cell r="B62">
            <v>4.5</v>
          </cell>
          <cell r="C62">
            <v>0.23699999999999999</v>
          </cell>
          <cell r="E62">
            <v>4</v>
          </cell>
          <cell r="F62">
            <v>100</v>
          </cell>
          <cell r="H62">
            <v>2</v>
          </cell>
          <cell r="I62">
            <v>2.375</v>
          </cell>
          <cell r="J62">
            <v>0.154</v>
          </cell>
          <cell r="K62"/>
          <cell r="L62">
            <v>2</v>
          </cell>
          <cell r="M62">
            <v>50</v>
          </cell>
        </row>
        <row r="63">
          <cell r="A63">
            <v>6</v>
          </cell>
          <cell r="B63">
            <v>6.625</v>
          </cell>
          <cell r="C63">
            <v>0.28000000000000003</v>
          </cell>
          <cell r="E63">
            <v>6</v>
          </cell>
          <cell r="F63">
            <v>150</v>
          </cell>
          <cell r="H63">
            <v>3</v>
          </cell>
          <cell r="I63">
            <v>3.5</v>
          </cell>
          <cell r="J63">
            <v>0.216</v>
          </cell>
          <cell r="K63"/>
          <cell r="L63">
            <v>3</v>
          </cell>
          <cell r="M63">
            <v>75</v>
          </cell>
        </row>
        <row r="64">
          <cell r="H64">
            <v>4</v>
          </cell>
          <cell r="I64">
            <v>4.5</v>
          </cell>
          <cell r="J64">
            <v>0.23699999999999999</v>
          </cell>
          <cell r="K64"/>
          <cell r="L64">
            <v>4</v>
          </cell>
          <cell r="M64">
            <v>100</v>
          </cell>
        </row>
        <row r="65">
          <cell r="H65">
            <v>6</v>
          </cell>
          <cell r="I65">
            <v>6.625</v>
          </cell>
          <cell r="J65">
            <v>0.28000000000000003</v>
          </cell>
          <cell r="K65"/>
          <cell r="L65">
            <v>6</v>
          </cell>
          <cell r="M65">
            <v>150</v>
          </cell>
        </row>
        <row r="71">
          <cell r="A71" t="str">
            <v>2:1 Ellipsoidal</v>
          </cell>
          <cell r="B71"/>
          <cell r="C71"/>
          <cell r="D71"/>
          <cell r="E71"/>
          <cell r="F71">
            <v>36.264063346993296</v>
          </cell>
        </row>
        <row r="72">
          <cell r="A72" t="str">
            <v>ASME Torispherical Dished</v>
          </cell>
          <cell r="B72"/>
          <cell r="C72"/>
          <cell r="D72"/>
          <cell r="E72">
            <v>40</v>
          </cell>
          <cell r="F72">
            <v>18.941022222222223</v>
          </cell>
        </row>
        <row r="73">
          <cell r="A73" t="str">
            <v>Conical End (60 deg included angle)</v>
          </cell>
          <cell r="B73"/>
          <cell r="C73"/>
          <cell r="D73">
            <v>34.641016151377535</v>
          </cell>
          <cell r="E73"/>
          <cell r="F73">
            <v>62.811200205888639</v>
          </cell>
        </row>
        <row r="74">
          <cell r="A74" t="str">
            <v>Conical End (90 deg included angle)</v>
          </cell>
          <cell r="B74"/>
          <cell r="C74"/>
          <cell r="D74">
            <v>20</v>
          </cell>
          <cell r="E74"/>
          <cell r="F74">
            <v>36.264063346993296</v>
          </cell>
        </row>
        <row r="75">
          <cell r="A75" t="str">
            <v>Conical End (120 deg included angle)</v>
          </cell>
          <cell r="B75"/>
          <cell r="C75"/>
          <cell r="D75">
            <v>11.547005383792515</v>
          </cell>
          <cell r="E75"/>
          <cell r="F75">
            <v>20.93706673529622</v>
          </cell>
        </row>
        <row r="76">
          <cell r="A76" t="str">
            <v>Flat End</v>
          </cell>
          <cell r="B76"/>
          <cell r="C76"/>
          <cell r="D76"/>
          <cell r="E76"/>
          <cell r="F76">
            <v>0</v>
          </cell>
        </row>
        <row r="77">
          <cell r="A77" t="str">
            <v>Hemispherical Dished</v>
          </cell>
          <cell r="B77"/>
          <cell r="C77"/>
          <cell r="D77"/>
          <cell r="E77">
            <v>20</v>
          </cell>
          <cell r="F77">
            <v>72.528126693986593</v>
          </cell>
        </row>
        <row r="78">
          <cell r="A78" t="str">
            <v>Standard Dished</v>
          </cell>
          <cell r="B78"/>
          <cell r="C78"/>
          <cell r="D78"/>
          <cell r="E78">
            <v>40</v>
          </cell>
          <cell r="F78">
            <v>19.565740740740743</v>
          </cell>
        </row>
        <row r="85">
          <cell r="E85">
            <v>900</v>
          </cell>
        </row>
        <row r="92">
          <cell r="C92">
            <v>1</v>
          </cell>
        </row>
        <row r="93">
          <cell r="C93">
            <v>1</v>
          </cell>
        </row>
        <row r="94">
          <cell r="C94">
            <v>2</v>
          </cell>
        </row>
        <row r="95">
          <cell r="C95">
            <v>1</v>
          </cell>
        </row>
        <row r="96">
          <cell r="C96">
            <v>101</v>
          </cell>
        </row>
        <row r="97">
          <cell r="C97">
            <v>3</v>
          </cell>
        </row>
        <row r="98">
          <cell r="C98">
            <v>1</v>
          </cell>
        </row>
        <row r="99">
          <cell r="C99">
            <v>3</v>
          </cell>
        </row>
        <row r="100">
          <cell r="C100"/>
        </row>
        <row r="101">
          <cell r="C101">
            <v>3</v>
          </cell>
        </row>
        <row r="102">
          <cell r="C102" t="b">
            <v>0</v>
          </cell>
        </row>
        <row r="103">
          <cell r="C103">
            <v>1</v>
          </cell>
        </row>
        <row r="104">
          <cell r="C104">
            <v>3</v>
          </cell>
        </row>
        <row r="105">
          <cell r="C105" t="b">
            <v>0</v>
          </cell>
        </row>
        <row r="106">
          <cell r="C106">
            <v>1</v>
          </cell>
        </row>
        <row r="107">
          <cell r="C107">
            <v>1</v>
          </cell>
        </row>
        <row r="108">
          <cell r="C108">
            <v>3</v>
          </cell>
        </row>
        <row r="109">
          <cell r="C109">
            <v>1</v>
          </cell>
        </row>
        <row r="110">
          <cell r="C110" t="b">
            <v>1</v>
          </cell>
        </row>
        <row r="111">
          <cell r="C111" t="b">
            <v>0</v>
          </cell>
        </row>
        <row r="112">
          <cell r="C112" t="b">
            <v>0</v>
          </cell>
        </row>
        <row r="119">
          <cell r="C119">
            <v>3</v>
          </cell>
        </row>
        <row r="120">
          <cell r="C120">
            <v>24</v>
          </cell>
        </row>
        <row r="121">
          <cell r="C121">
            <v>1</v>
          </cell>
        </row>
        <row r="122">
          <cell r="C122">
            <v>3</v>
          </cell>
        </row>
        <row r="123">
          <cell r="C123" t="str">
            <v>N/A</v>
          </cell>
        </row>
        <row r="125">
          <cell r="C125">
            <v>1</v>
          </cell>
        </row>
        <row r="126">
          <cell r="C126">
            <v>2</v>
          </cell>
        </row>
        <row r="127">
          <cell r="C127">
            <v>1</v>
          </cell>
        </row>
        <row r="128">
          <cell r="C128">
            <v>2</v>
          </cell>
        </row>
        <row r="129">
          <cell r="C129">
            <v>2</v>
          </cell>
        </row>
        <row r="147">
          <cell r="B147" t="str">
            <v>Reactor Temp</v>
          </cell>
        </row>
        <row r="148">
          <cell r="A148">
            <v>0</v>
          </cell>
          <cell r="B148">
            <v>209</v>
          </cell>
        </row>
        <row r="149">
          <cell r="A149">
            <v>2</v>
          </cell>
          <cell r="B149">
            <v>219.84210014343262</v>
          </cell>
        </row>
        <row r="150">
          <cell r="A150">
            <v>4</v>
          </cell>
          <cell r="B150">
            <v>229.86810014343263</v>
          </cell>
        </row>
        <row r="151">
          <cell r="A151">
            <v>6</v>
          </cell>
          <cell r="B151">
            <v>239.25396014343264</v>
          </cell>
        </row>
        <row r="152">
          <cell r="A152">
            <v>8</v>
          </cell>
          <cell r="B152">
            <v>248.02018014343264</v>
          </cell>
        </row>
        <row r="153">
          <cell r="A153">
            <v>10</v>
          </cell>
          <cell r="B153">
            <v>256.19166014343261</v>
          </cell>
        </row>
        <row r="154">
          <cell r="A154">
            <v>12</v>
          </cell>
          <cell r="B154">
            <v>263.79508014343264</v>
          </cell>
        </row>
        <row r="155">
          <cell r="A155">
            <v>14</v>
          </cell>
          <cell r="B155">
            <v>270.85836014343266</v>
          </cell>
        </row>
        <row r="156">
          <cell r="A156">
            <v>16</v>
          </cell>
          <cell r="B156">
            <v>277.41014014343267</v>
          </cell>
        </row>
        <row r="157">
          <cell r="A157">
            <v>18</v>
          </cell>
          <cell r="B157">
            <v>283.47926014343267</v>
          </cell>
        </row>
        <row r="158">
          <cell r="A158">
            <v>20</v>
          </cell>
          <cell r="B158">
            <v>289.09442014343267</v>
          </cell>
        </row>
        <row r="159">
          <cell r="A159">
            <v>22</v>
          </cell>
          <cell r="B159">
            <v>294.28384014343266</v>
          </cell>
        </row>
        <row r="160">
          <cell r="A160">
            <v>24</v>
          </cell>
          <cell r="B160">
            <v>299.07502014343265</v>
          </cell>
        </row>
        <row r="161">
          <cell r="A161">
            <v>26</v>
          </cell>
          <cell r="B161">
            <v>303.49454014343263</v>
          </cell>
        </row>
        <row r="162">
          <cell r="A162">
            <v>28</v>
          </cell>
          <cell r="B162">
            <v>307.56792014343262</v>
          </cell>
        </row>
        <row r="163">
          <cell r="A163">
            <v>30</v>
          </cell>
          <cell r="B163">
            <v>311.31964014343259</v>
          </cell>
        </row>
        <row r="164">
          <cell r="A164">
            <v>32</v>
          </cell>
          <cell r="B164">
            <v>314.77268014343258</v>
          </cell>
        </row>
        <row r="165">
          <cell r="A165">
            <v>34</v>
          </cell>
          <cell r="B165">
            <v>317.94894014343259</v>
          </cell>
        </row>
        <row r="166">
          <cell r="A166">
            <v>36</v>
          </cell>
          <cell r="B166">
            <v>320.86902014343258</v>
          </cell>
        </row>
        <row r="167">
          <cell r="A167">
            <v>38</v>
          </cell>
          <cell r="B167">
            <v>323.55226014343259</v>
          </cell>
        </row>
        <row r="168">
          <cell r="A168">
            <v>40</v>
          </cell>
          <cell r="B168">
            <v>326.01678014343258</v>
          </cell>
        </row>
        <row r="169">
          <cell r="A169">
            <v>42</v>
          </cell>
          <cell r="B169">
            <v>328.27950014343259</v>
          </cell>
        </row>
        <row r="170">
          <cell r="A170">
            <v>44</v>
          </cell>
          <cell r="B170">
            <v>330.3562001434326</v>
          </cell>
        </row>
        <row r="171">
          <cell r="A171">
            <v>46</v>
          </cell>
          <cell r="B171">
            <v>332.26154014343263</v>
          </cell>
        </row>
        <row r="172">
          <cell r="A172">
            <v>48</v>
          </cell>
          <cell r="B172">
            <v>334.0091401434326</v>
          </cell>
        </row>
        <row r="173">
          <cell r="A173">
            <v>50</v>
          </cell>
          <cell r="B173">
            <v>335.61162014343262</v>
          </cell>
        </row>
        <row r="174">
          <cell r="A174">
            <v>52</v>
          </cell>
          <cell r="B174">
            <v>337.08068014343263</v>
          </cell>
        </row>
        <row r="175">
          <cell r="A175">
            <v>54</v>
          </cell>
          <cell r="B175">
            <v>338.4271201434326</v>
          </cell>
        </row>
        <row r="176">
          <cell r="A176">
            <v>56</v>
          </cell>
          <cell r="B176">
            <v>339.66094014343258</v>
          </cell>
        </row>
        <row r="177">
          <cell r="A177">
            <v>58</v>
          </cell>
          <cell r="B177">
            <v>340.79134014343259</v>
          </cell>
        </row>
        <row r="178">
          <cell r="A178">
            <v>60</v>
          </cell>
          <cell r="B178">
            <v>341.82714014343259</v>
          </cell>
        </row>
        <row r="179">
          <cell r="A179">
            <v>62</v>
          </cell>
          <cell r="B179">
            <v>342.7758001434326</v>
          </cell>
        </row>
        <row r="180">
          <cell r="A180">
            <v>64</v>
          </cell>
          <cell r="B180">
            <v>343.6445201434326</v>
          </cell>
        </row>
        <row r="181">
          <cell r="A181">
            <v>66</v>
          </cell>
          <cell r="B181">
            <v>344.43992014343257</v>
          </cell>
        </row>
        <row r="182">
          <cell r="A182">
            <v>68</v>
          </cell>
          <cell r="B182">
            <v>345.16812014343259</v>
          </cell>
        </row>
        <row r="183">
          <cell r="A183">
            <v>70</v>
          </cell>
          <cell r="B183">
            <v>345.83472014343261</v>
          </cell>
        </row>
        <row r="184">
          <cell r="A184">
            <v>72</v>
          </cell>
          <cell r="B184">
            <v>346.44488014343261</v>
          </cell>
        </row>
        <row r="185">
          <cell r="A185">
            <v>74</v>
          </cell>
          <cell r="B185">
            <v>347.00334014343264</v>
          </cell>
        </row>
        <row r="186">
          <cell r="A186">
            <v>76</v>
          </cell>
          <cell r="B186">
            <v>347.51442014343263</v>
          </cell>
        </row>
        <row r="187">
          <cell r="A187">
            <v>78</v>
          </cell>
          <cell r="B187">
            <v>347.98212014343261</v>
          </cell>
        </row>
        <row r="188">
          <cell r="A188">
            <v>80</v>
          </cell>
          <cell r="B188">
            <v>348.41008014343259</v>
          </cell>
        </row>
        <row r="189">
          <cell r="A189">
            <v>82</v>
          </cell>
          <cell r="B189">
            <v>348.80166014343257</v>
          </cell>
        </row>
        <row r="190">
          <cell r="A190">
            <v>84</v>
          </cell>
          <cell r="B190">
            <v>349.15994014343255</v>
          </cell>
        </row>
        <row r="191">
          <cell r="A191">
            <v>86</v>
          </cell>
          <cell r="B191">
            <v>349.48772014343257</v>
          </cell>
        </row>
        <row r="192">
          <cell r="A192">
            <v>88</v>
          </cell>
          <cell r="B192">
            <v>349.78760014343254</v>
          </cell>
        </row>
        <row r="193">
          <cell r="A193">
            <v>90</v>
          </cell>
          <cell r="B193">
            <v>350.06194014343254</v>
          </cell>
        </row>
        <row r="194">
          <cell r="A194">
            <v>92</v>
          </cell>
          <cell r="B194">
            <v>350.31290014343256</v>
          </cell>
        </row>
        <row r="195">
          <cell r="A195">
            <v>94</v>
          </cell>
          <cell r="B195">
            <v>350.54246014343255</v>
          </cell>
        </row>
        <row r="196">
          <cell r="A196">
            <v>96</v>
          </cell>
          <cell r="B196">
            <v>350.75244014343252</v>
          </cell>
        </row>
        <row r="197">
          <cell r="A197">
            <v>98</v>
          </cell>
          <cell r="B197">
            <v>350.94450014343255</v>
          </cell>
        </row>
        <row r="198">
          <cell r="A198">
            <v>100</v>
          </cell>
          <cell r="B198">
            <v>351.12006014343257</v>
          </cell>
        </row>
        <row r="199">
          <cell r="A199">
            <v>102</v>
          </cell>
          <cell r="B199">
            <v>351.28064014343255</v>
          </cell>
        </row>
        <row r="200">
          <cell r="A200">
            <v>104</v>
          </cell>
          <cell r="B200">
            <v>351.42752014343256</v>
          </cell>
        </row>
        <row r="201">
          <cell r="A201">
            <v>106</v>
          </cell>
          <cell r="B201">
            <v>351.56188014343257</v>
          </cell>
        </row>
        <row r="202">
          <cell r="A202">
            <v>108</v>
          </cell>
          <cell r="B202">
            <v>351.68476014343258</v>
          </cell>
        </row>
        <row r="203">
          <cell r="A203">
            <v>110</v>
          </cell>
          <cell r="B203">
            <v>351.79716014343256</v>
          </cell>
        </row>
        <row r="204">
          <cell r="A204">
            <v>112</v>
          </cell>
          <cell r="B204">
            <v>351.89996014343257</v>
          </cell>
        </row>
        <row r="205">
          <cell r="A205">
            <v>114</v>
          </cell>
          <cell r="B205">
            <v>351.99398014343257</v>
          </cell>
        </row>
        <row r="206">
          <cell r="A206">
            <v>116</v>
          </cell>
          <cell r="B206">
            <v>352.07996014343257</v>
          </cell>
        </row>
        <row r="207">
          <cell r="A207">
            <v>118</v>
          </cell>
          <cell r="B207">
            <v>352.15826014343259</v>
          </cell>
        </row>
        <row r="208">
          <cell r="A208">
            <v>120</v>
          </cell>
          <cell r="B208">
            <v>352.22990014343259</v>
          </cell>
        </row>
        <row r="228">
          <cell r="F228">
            <v>323.3</v>
          </cell>
        </row>
        <row r="229">
          <cell r="F229">
            <v>0.2099</v>
          </cell>
        </row>
        <row r="231">
          <cell r="F231">
            <v>890.2</v>
          </cell>
        </row>
        <row r="232">
          <cell r="F232">
            <v>3.4599999999999999E-2</v>
          </cell>
        </row>
        <row r="233">
          <cell r="F233">
            <v>1.7999999999999999E-2</v>
          </cell>
        </row>
        <row r="234">
          <cell r="F234">
            <v>1.1100000000000001</v>
          </cell>
        </row>
      </sheetData>
      <sheetData sheetId="5">
        <row r="18">
          <cell r="D18" t="str">
            <v/>
          </cell>
        </row>
        <row r="39">
          <cell r="D39">
            <v>7.1340000000000001E-2</v>
          </cell>
        </row>
        <row r="40">
          <cell r="D40">
            <v>0.53500000000000003</v>
          </cell>
        </row>
        <row r="41">
          <cell r="D41">
            <v>41.61</v>
          </cell>
        </row>
        <row r="42">
          <cell r="D42">
            <v>0.376</v>
          </cell>
          <cell r="F42">
            <v>3.7600000000000003E-4</v>
          </cell>
        </row>
        <row r="49">
          <cell r="D49">
            <v>40</v>
          </cell>
        </row>
        <row r="50">
          <cell r="D50">
            <v>46</v>
          </cell>
        </row>
        <row r="58">
          <cell r="D58">
            <v>3.4266666666666663</v>
          </cell>
        </row>
        <row r="91">
          <cell r="D91">
            <v>4116997.5303951371</v>
          </cell>
        </row>
        <row r="92">
          <cell r="D92">
            <v>6.8215064760302777</v>
          </cell>
        </row>
        <row r="93">
          <cell r="D93">
            <v>28.922674554648633</v>
          </cell>
        </row>
        <row r="94">
          <cell r="D94">
            <v>1.3154857829233166</v>
          </cell>
        </row>
        <row r="101">
          <cell r="D101">
            <v>249.06496399429417</v>
          </cell>
          <cell r="L101" t="e">
            <v>#DIV/0!</v>
          </cell>
        </row>
        <row r="138">
          <cell r="P138">
            <v>8.6385717403566797</v>
          </cell>
        </row>
        <row r="139">
          <cell r="P139">
            <v>300799.91275970766</v>
          </cell>
        </row>
        <row r="154">
          <cell r="H154">
            <v>7.0105100855054667</v>
          </cell>
        </row>
        <row r="429">
          <cell r="C429" t="str">
            <v>Alloy 3-blade retreating</v>
          </cell>
          <cell r="D429">
            <v>0.37</v>
          </cell>
          <cell r="E429">
            <v>0.67</v>
          </cell>
          <cell r="F429">
            <v>0.33</v>
          </cell>
          <cell r="G429">
            <v>0.14000000000000001</v>
          </cell>
          <cell r="H429">
            <v>0</v>
          </cell>
          <cell r="I429">
            <v>0</v>
          </cell>
          <cell r="J429">
            <v>0</v>
          </cell>
          <cell r="K429">
            <v>0</v>
          </cell>
          <cell r="L429">
            <v>0</v>
          </cell>
          <cell r="M429">
            <v>0</v>
          </cell>
          <cell r="N429">
            <v>19580.478028197678</v>
          </cell>
          <cell r="O429">
            <v>419.0613907594867</v>
          </cell>
          <cell r="P429">
            <v>18843.051192700961</v>
          </cell>
          <cell r="Q429">
            <v>403.27898162618595</v>
          </cell>
          <cell r="R429" t="e">
            <v>#DIV/0!</v>
          </cell>
          <cell r="S429" t="e">
            <v>#DIV/0!</v>
          </cell>
          <cell r="T429" t="str">
            <v>[0.370]</v>
          </cell>
          <cell r="U429" t="str">
            <v>*[RE^0.67]</v>
          </cell>
          <cell r="V429" t="str">
            <v>*[PR^0.33]</v>
          </cell>
          <cell r="W429" t="str">
            <v>*[Visc_Ratio^0.14]</v>
          </cell>
          <cell r="X429" t="str">
            <v/>
          </cell>
          <cell r="Y429" t="str">
            <v/>
          </cell>
          <cell r="Z429" t="str">
            <v/>
          </cell>
          <cell r="AA429" t="str">
            <v/>
          </cell>
          <cell r="AB429" t="str">
            <v/>
          </cell>
          <cell r="AC429" t="str">
            <v/>
          </cell>
          <cell r="AD429"/>
          <cell r="AE429" t="str">
            <v>[0.370]*[RE^0.67]*[PR^0.33]*[Visc_Ratio^0.14]</v>
          </cell>
          <cell r="AF429">
            <v>13.3</v>
          </cell>
          <cell r="AG429">
            <v>2.7</v>
          </cell>
          <cell r="AH429"/>
          <cell r="AI429">
            <v>3</v>
          </cell>
          <cell r="AJ429">
            <v>0</v>
          </cell>
          <cell r="AK429">
            <v>10</v>
          </cell>
        </row>
        <row r="430">
          <cell r="C430" t="str">
            <v>Anchor</v>
          </cell>
          <cell r="D430">
            <v>0.32</v>
          </cell>
          <cell r="E430">
            <v>0.67</v>
          </cell>
          <cell r="F430">
            <v>0.33</v>
          </cell>
          <cell r="G430">
            <v>0.14000000000000001</v>
          </cell>
          <cell r="H430">
            <v>0</v>
          </cell>
          <cell r="I430">
            <v>0</v>
          </cell>
          <cell r="J430">
            <v>0</v>
          </cell>
          <cell r="K430">
            <v>0</v>
          </cell>
          <cell r="L430">
            <v>0</v>
          </cell>
          <cell r="M430">
            <v>0</v>
          </cell>
          <cell r="N430">
            <v>16934.467483846638</v>
          </cell>
          <cell r="O430">
            <v>362.43147308928576</v>
          </cell>
          <cell r="P430">
            <v>16296.692923417046</v>
          </cell>
          <cell r="Q430">
            <v>348.78182194697155</v>
          </cell>
          <cell r="R430">
            <v>0</v>
          </cell>
          <cell r="S430">
            <v>0</v>
          </cell>
          <cell r="T430" t="str">
            <v>[0.320]</v>
          </cell>
          <cell r="U430" t="str">
            <v>*[RE^0.67]</v>
          </cell>
          <cell r="V430" t="str">
            <v>*[PR^0.33]</v>
          </cell>
          <cell r="W430" t="str">
            <v>*[Visc_Ratio^0.14]</v>
          </cell>
          <cell r="X430" t="str">
            <v/>
          </cell>
          <cell r="Y430" t="str">
            <v/>
          </cell>
          <cell r="Z430" t="str">
            <v/>
          </cell>
          <cell r="AA430" t="str">
            <v/>
          </cell>
          <cell r="AB430" t="str">
            <v/>
          </cell>
          <cell r="AC430" t="str">
            <v/>
          </cell>
          <cell r="AD430"/>
          <cell r="AE430" t="str">
            <v>[0.320]*[RE^0.67]*[PR^0.33]*[Visc_Ratio^0.14]</v>
          </cell>
          <cell r="AF430">
            <v>38.4</v>
          </cell>
          <cell r="AG430"/>
          <cell r="AH430"/>
          <cell r="AI430">
            <v>1</v>
          </cell>
          <cell r="AJ430">
            <v>20</v>
          </cell>
          <cell r="AK430">
            <v>100</v>
          </cell>
        </row>
        <row r="431">
          <cell r="C431" t="str">
            <v>Glass-steel retreating</v>
          </cell>
          <cell r="D431">
            <v>0.33</v>
          </cell>
          <cell r="E431">
            <v>0.67</v>
          </cell>
          <cell r="F431">
            <v>0.33</v>
          </cell>
          <cell r="G431">
            <v>0.14000000000000001</v>
          </cell>
          <cell r="H431">
            <v>0</v>
          </cell>
          <cell r="I431">
            <v>0</v>
          </cell>
          <cell r="J431">
            <v>0</v>
          </cell>
          <cell r="K431">
            <v>0</v>
          </cell>
          <cell r="L431">
            <v>0</v>
          </cell>
          <cell r="M431">
            <v>0</v>
          </cell>
          <cell r="N431">
            <v>17463.669592716851</v>
          </cell>
          <cell r="O431">
            <v>373.75745662332605</v>
          </cell>
          <cell r="P431">
            <v>16805.964577273833</v>
          </cell>
          <cell r="Q431">
            <v>359.68125388281459</v>
          </cell>
          <cell r="R431">
            <v>0</v>
          </cell>
          <cell r="S431">
            <v>0</v>
          </cell>
          <cell r="T431" t="str">
            <v>[0.330]</v>
          </cell>
          <cell r="U431" t="str">
            <v>*[RE^0.67]</v>
          </cell>
          <cell r="V431" t="str">
            <v>*[PR^0.33]</v>
          </cell>
          <cell r="W431" t="str">
            <v>*[Visc_Ratio^0.14]</v>
          </cell>
          <cell r="X431" t="str">
            <v/>
          </cell>
          <cell r="Y431" t="str">
            <v/>
          </cell>
          <cell r="Z431" t="str">
            <v/>
          </cell>
          <cell r="AA431" t="str">
            <v/>
          </cell>
          <cell r="AB431" t="str">
            <v/>
          </cell>
          <cell r="AC431" t="str">
            <v/>
          </cell>
          <cell r="AD431"/>
          <cell r="AE431" t="str">
            <v>[0.330]*[RE^0.67]*[PR^0.33]*[Visc_Ratio^0.14]</v>
          </cell>
          <cell r="AF431">
            <v>30</v>
          </cell>
          <cell r="AG431"/>
          <cell r="AH431"/>
          <cell r="AI431">
            <v>1</v>
          </cell>
          <cell r="AJ431">
            <v>0</v>
          </cell>
          <cell r="AK431">
            <v>10</v>
          </cell>
        </row>
        <row r="432">
          <cell r="C432" t="str">
            <v>Helical Ribbon</v>
          </cell>
          <cell r="D432">
            <v>0.3</v>
          </cell>
          <cell r="E432">
            <v>0.67</v>
          </cell>
          <cell r="F432">
            <v>0.33</v>
          </cell>
          <cell r="G432">
            <v>0.14000000000000001</v>
          </cell>
          <cell r="H432">
            <v>0</v>
          </cell>
          <cell r="I432">
            <v>0</v>
          </cell>
          <cell r="J432">
            <v>0</v>
          </cell>
          <cell r="K432">
            <v>0</v>
          </cell>
          <cell r="L432">
            <v>0</v>
          </cell>
          <cell r="M432">
            <v>0</v>
          </cell>
          <cell r="N432">
            <v>15876.063266106225</v>
          </cell>
          <cell r="O432">
            <v>339.77950602120541</v>
          </cell>
          <cell r="P432">
            <v>15278.149615703482</v>
          </cell>
          <cell r="Q432">
            <v>326.98295807528586</v>
          </cell>
          <cell r="R432">
            <v>0</v>
          </cell>
          <cell r="S432">
            <v>0</v>
          </cell>
          <cell r="T432" t="str">
            <v>[0.300]</v>
          </cell>
          <cell r="U432" t="str">
            <v>*[RE^0.67]</v>
          </cell>
          <cell r="V432" t="str">
            <v>*[PR^0.33]</v>
          </cell>
          <cell r="W432" t="str">
            <v>*[Visc_Ratio^0.14]</v>
          </cell>
          <cell r="X432" t="str">
            <v/>
          </cell>
          <cell r="Y432" t="str">
            <v/>
          </cell>
          <cell r="Z432" t="str">
            <v/>
          </cell>
          <cell r="AA432" t="str">
            <v/>
          </cell>
          <cell r="AB432" t="str">
            <v/>
          </cell>
          <cell r="AC432" t="str">
            <v/>
          </cell>
          <cell r="AD432"/>
          <cell r="AE432" t="str">
            <v>[0.300]*[RE^0.67]*[PR^0.33]*[Visc_Ratio^0.14]</v>
          </cell>
          <cell r="AF432">
            <v>38.4</v>
          </cell>
          <cell r="AG432">
            <v>23</v>
          </cell>
          <cell r="AH432"/>
          <cell r="AI432">
            <v>0</v>
          </cell>
          <cell r="AJ432">
            <v>20</v>
          </cell>
          <cell r="AK432">
            <v>1000</v>
          </cell>
        </row>
        <row r="433">
          <cell r="C433" t="str">
            <v>No Agitator</v>
          </cell>
          <cell r="D433"/>
          <cell r="E433" t="str">
            <v>Clam =</v>
          </cell>
          <cell r="F433">
            <v>0.61222375459694611</v>
          </cell>
          <cell r="G433" t="str">
            <v>Cturb=</v>
          </cell>
          <cell r="H433">
            <v>0.11211331066147297</v>
          </cell>
          <cell r="I433" t="str">
            <v>Nulam =</v>
          </cell>
          <cell r="J433">
            <v>3.5103366588857083</v>
          </cell>
          <cell r="K433" t="str">
            <v>Nuturb=</v>
          </cell>
          <cell r="L433">
            <v>0.65152595263662427</v>
          </cell>
          <cell r="M433"/>
          <cell r="N433">
            <v>3.5103605748460489</v>
          </cell>
          <cell r="O433">
            <v>7.5128737022855135E-2</v>
          </cell>
          <cell r="P433">
            <v>2</v>
          </cell>
          <cell r="Q433">
            <v>4.2804000000000002E-2</v>
          </cell>
          <cell r="R433">
            <v>24.317144248948932</v>
          </cell>
          <cell r="S433">
            <v>8.7652298310064012</v>
          </cell>
          <cell r="T433"/>
          <cell r="U433"/>
          <cell r="V433"/>
          <cell r="W433"/>
          <cell r="X433"/>
          <cell r="Y433"/>
          <cell r="Z433"/>
          <cell r="AA433"/>
          <cell r="AB433"/>
          <cell r="AC433"/>
          <cell r="AD433"/>
          <cell r="AE433" t="str">
            <v>See Garvin, Equations 10, 11 and 12</v>
          </cell>
          <cell r="AF433"/>
          <cell r="AG433"/>
          <cell r="AH433"/>
          <cell r="AI433"/>
          <cell r="AJ433">
            <v>0</v>
          </cell>
          <cell r="AK433">
            <v>100000</v>
          </cell>
        </row>
        <row r="434">
          <cell r="C434" t="str">
            <v>Paddle</v>
          </cell>
          <cell r="D434">
            <v>0.36</v>
          </cell>
          <cell r="E434">
            <v>0.67</v>
          </cell>
          <cell r="F434">
            <v>0.33</v>
          </cell>
          <cell r="G434">
            <v>0.14000000000000001</v>
          </cell>
          <cell r="H434">
            <v>0</v>
          </cell>
          <cell r="I434">
            <v>0</v>
          </cell>
          <cell r="J434">
            <v>0</v>
          </cell>
          <cell r="K434">
            <v>0</v>
          </cell>
          <cell r="L434">
            <v>0</v>
          </cell>
          <cell r="M434">
            <v>0</v>
          </cell>
          <cell r="N434">
            <v>19051.275919327469</v>
          </cell>
          <cell r="O434">
            <v>407.73540722544647</v>
          </cell>
          <cell r="P434">
            <v>18333.779538844177</v>
          </cell>
          <cell r="Q434">
            <v>392.37954969034308</v>
          </cell>
          <cell r="R434" t="e">
            <v>#DIV/0!</v>
          </cell>
          <cell r="S434" t="e">
            <v>#DIV/0!</v>
          </cell>
          <cell r="T434" t="str">
            <v>[0.360]</v>
          </cell>
          <cell r="U434" t="str">
            <v>*[RE^0.67]</v>
          </cell>
          <cell r="V434" t="str">
            <v>*[PR^0.33]</v>
          </cell>
          <cell r="W434" t="str">
            <v>*[Visc_Ratio^0.14]</v>
          </cell>
          <cell r="X434" t="str">
            <v/>
          </cell>
          <cell r="Y434" t="str">
            <v/>
          </cell>
          <cell r="Z434" t="str">
            <v/>
          </cell>
          <cell r="AA434" t="str">
            <v/>
          </cell>
          <cell r="AB434" t="str">
            <v/>
          </cell>
          <cell r="AC434" t="str">
            <v/>
          </cell>
          <cell r="AD434"/>
          <cell r="AE434" t="str">
            <v>[0.360]*[RE^0.67]*[PR^0.33]*[Visc_Ratio^0.14]</v>
          </cell>
          <cell r="AF434">
            <v>28</v>
          </cell>
          <cell r="AG434"/>
          <cell r="AH434"/>
          <cell r="AI434">
            <v>0</v>
          </cell>
          <cell r="AJ434">
            <v>1</v>
          </cell>
          <cell r="AK434">
            <v>1000</v>
          </cell>
        </row>
        <row r="435">
          <cell r="C435" t="str">
            <v>Propeller</v>
          </cell>
          <cell r="D435">
            <v>0.5</v>
          </cell>
          <cell r="E435">
            <v>0.67</v>
          </cell>
          <cell r="F435">
            <v>0.33</v>
          </cell>
          <cell r="G435">
            <v>0.14000000000000001</v>
          </cell>
          <cell r="H435">
            <v>0</v>
          </cell>
          <cell r="I435">
            <v>0</v>
          </cell>
          <cell r="J435">
            <v>0</v>
          </cell>
          <cell r="K435">
            <v>0</v>
          </cell>
          <cell r="L435">
            <v>0</v>
          </cell>
          <cell r="M435">
            <v>0</v>
          </cell>
          <cell r="N435">
            <v>26460.105443510372</v>
          </cell>
          <cell r="O435">
            <v>566.29917670200894</v>
          </cell>
          <cell r="P435">
            <v>25463.582692839136</v>
          </cell>
          <cell r="Q435">
            <v>544.97159679214315</v>
          </cell>
          <cell r="R435" t="e">
            <v>#DIV/0!</v>
          </cell>
          <cell r="S435" t="e">
            <v>#DIV/0!</v>
          </cell>
          <cell r="T435" t="str">
            <v>[0.500]</v>
          </cell>
          <cell r="U435" t="str">
            <v>*[RE^0.67]</v>
          </cell>
          <cell r="V435" t="str">
            <v>*[PR^0.33]</v>
          </cell>
          <cell r="W435" t="str">
            <v>*[Visc_Ratio^0.14]</v>
          </cell>
          <cell r="X435" t="str">
            <v/>
          </cell>
          <cell r="Y435" t="str">
            <v/>
          </cell>
          <cell r="Z435" t="str">
            <v/>
          </cell>
          <cell r="AA435" t="str">
            <v/>
          </cell>
          <cell r="AB435" t="str">
            <v/>
          </cell>
          <cell r="AC435" t="str">
            <v/>
          </cell>
          <cell r="AD435"/>
          <cell r="AE435" t="str">
            <v>[0.500]*[RE^0.67]*[PR^0.33]*[Visc_Ratio^0.14]</v>
          </cell>
          <cell r="AF435">
            <v>13.3</v>
          </cell>
          <cell r="AG435">
            <v>13.3</v>
          </cell>
          <cell r="AH435"/>
          <cell r="AI435">
            <v>3</v>
          </cell>
          <cell r="AJ435">
            <v>0</v>
          </cell>
          <cell r="AK435">
            <v>2</v>
          </cell>
        </row>
        <row r="436">
          <cell r="C436" t="str">
            <v>Pumped Circulation (no agitator)</v>
          </cell>
          <cell r="D436"/>
          <cell r="E436"/>
          <cell r="F436"/>
          <cell r="G436"/>
          <cell r="H436"/>
          <cell r="I436"/>
          <cell r="J436"/>
          <cell r="K436"/>
          <cell r="L436"/>
          <cell r="M436"/>
          <cell r="N436">
            <v>64.337917654932426</v>
          </cell>
          <cell r="O436">
            <v>1.3769601136508638</v>
          </cell>
          <cell r="P436">
            <v>82.272290326907836</v>
          </cell>
          <cell r="Q436">
            <v>1.7607915575764816</v>
          </cell>
          <cell r="R436">
            <v>0</v>
          </cell>
          <cell r="S436">
            <v>45.773235002699764</v>
          </cell>
          <cell r="T436"/>
          <cell r="U436"/>
          <cell r="V436"/>
          <cell r="W436"/>
          <cell r="X436"/>
          <cell r="Y436"/>
          <cell r="Z436"/>
          <cell r="AA436"/>
          <cell r="AB436"/>
          <cell r="AC436"/>
          <cell r="AD436"/>
          <cell r="AE436" t="str">
            <v>Pumped Flow from Above</v>
          </cell>
          <cell r="AF436"/>
          <cell r="AG436"/>
          <cell r="AH436"/>
          <cell r="AI436"/>
          <cell r="AJ436">
            <v>0</v>
          </cell>
          <cell r="AK436">
            <v>100000</v>
          </cell>
        </row>
        <row r="437">
          <cell r="C437" t="str">
            <v>Retreating-blade Turbine</v>
          </cell>
          <cell r="D437">
            <v>0.68</v>
          </cell>
          <cell r="E437">
            <v>0.67</v>
          </cell>
          <cell r="F437">
            <v>0.33</v>
          </cell>
          <cell r="G437">
            <v>0.14000000000000001</v>
          </cell>
          <cell r="H437">
            <v>0</v>
          </cell>
          <cell r="I437">
            <v>0</v>
          </cell>
          <cell r="J437">
            <v>0</v>
          </cell>
          <cell r="K437">
            <v>0</v>
          </cell>
          <cell r="L437">
            <v>0</v>
          </cell>
          <cell r="M437">
            <v>0</v>
          </cell>
          <cell r="N437">
            <v>35985.743403174107</v>
          </cell>
          <cell r="O437">
            <v>770.16688031473211</v>
          </cell>
          <cell r="P437">
            <v>34630.472462261227</v>
          </cell>
          <cell r="Q437">
            <v>741.1613716373148</v>
          </cell>
          <cell r="R437" t="e">
            <v>#DIV/0!</v>
          </cell>
          <cell r="S437" t="e">
            <v>#DIV/0!</v>
          </cell>
          <cell r="T437" t="str">
            <v>[0.680]</v>
          </cell>
          <cell r="U437" t="str">
            <v>*[RE^0.67]</v>
          </cell>
          <cell r="V437" t="str">
            <v>*[PR^0.33]</v>
          </cell>
          <cell r="W437" t="str">
            <v>*[Visc_Ratio^0.14]</v>
          </cell>
          <cell r="X437" t="str">
            <v/>
          </cell>
          <cell r="Y437" t="str">
            <v/>
          </cell>
          <cell r="Z437" t="str">
            <v/>
          </cell>
          <cell r="AA437" t="str">
            <v/>
          </cell>
          <cell r="AB437" t="str">
            <v/>
          </cell>
          <cell r="AC437" t="str">
            <v/>
          </cell>
          <cell r="AD437"/>
          <cell r="AE437" t="str">
            <v>[0.680]*[RE^0.67]*[PR^0.33]*[Visc_Ratio^0.14]</v>
          </cell>
          <cell r="AF437">
            <v>13.3</v>
          </cell>
          <cell r="AG437">
            <v>2.7</v>
          </cell>
          <cell r="AH437"/>
          <cell r="AI437">
            <v>3</v>
          </cell>
          <cell r="AJ437">
            <v>0</v>
          </cell>
          <cell r="AK437">
            <v>10</v>
          </cell>
        </row>
        <row r="438">
          <cell r="C438" t="str">
            <v>Turbine (Rushton)</v>
          </cell>
          <cell r="D438">
            <v>0.74</v>
          </cell>
          <cell r="E438">
            <v>0.67</v>
          </cell>
          <cell r="F438">
            <v>0.33</v>
          </cell>
          <cell r="G438">
            <v>0.14000000000000001</v>
          </cell>
          <cell r="H438">
            <v>0</v>
          </cell>
          <cell r="I438">
            <v>0</v>
          </cell>
          <cell r="J438">
            <v>0</v>
          </cell>
          <cell r="K438">
            <v>0.2</v>
          </cell>
          <cell r="L438">
            <v>0.2</v>
          </cell>
          <cell r="M438">
            <v>0.5</v>
          </cell>
          <cell r="N438">
            <v>32185.446581671771</v>
          </cell>
          <cell r="O438">
            <v>688.83292774093923</v>
          </cell>
          <cell r="P438">
            <v>30973.299871688949</v>
          </cell>
          <cell r="Q438">
            <v>662.89056385388687</v>
          </cell>
          <cell r="R438" t="e">
            <v>#DIV/0!</v>
          </cell>
          <cell r="S438" t="e">
            <v>#DIV/0!</v>
          </cell>
          <cell r="T438" t="str">
            <v>[0.740]</v>
          </cell>
          <cell r="U438" t="str">
            <v>*[RE^0.67]</v>
          </cell>
          <cell r="V438" t="str">
            <v>*[PR^0.33]</v>
          </cell>
          <cell r="W438" t="str">
            <v>*[Visc_Ratio^0.14]</v>
          </cell>
          <cell r="X438" t="str">
            <v/>
          </cell>
          <cell r="Y438" t="str">
            <v/>
          </cell>
          <cell r="Z438" t="str">
            <v/>
          </cell>
          <cell r="AA438" t="str">
            <v>*[(5Wsin(θ)/D)^0.20]</v>
          </cell>
          <cell r="AB438" t="str">
            <v>*[(No.Blades/6)^0.20]</v>
          </cell>
          <cell r="AC438" t="str">
            <v>*[sin(θ)^0.50]</v>
          </cell>
          <cell r="AD438"/>
          <cell r="AE438" t="str">
            <v>[0.740]*[RE^0.67]*[PR^0.33]*[Visc_Ratio^0.14]*[(5Wsin(θ)/D)^0.20]*[(No.Blades/6)^0.20]*[sin(θ)^0.50]</v>
          </cell>
          <cell r="AF438">
            <v>13.3</v>
          </cell>
          <cell r="AG438">
            <v>2.7</v>
          </cell>
          <cell r="AH438"/>
          <cell r="AI438">
            <v>3</v>
          </cell>
          <cell r="AJ438">
            <v>0</v>
          </cell>
          <cell r="AK438">
            <v>10</v>
          </cell>
        </row>
        <row r="443">
          <cell r="F443">
            <v>738966.98517413856</v>
          </cell>
        </row>
        <row r="447">
          <cell r="C447" t="str">
            <v>Alloy 3-blade retreating</v>
          </cell>
          <cell r="D447">
            <v>1.4</v>
          </cell>
          <cell r="E447">
            <v>0.62</v>
          </cell>
          <cell r="F447">
            <v>0.33</v>
          </cell>
          <cell r="G447">
            <v>0.14000000000000001</v>
          </cell>
          <cell r="H447">
            <v>0</v>
          </cell>
          <cell r="I447">
            <v>0</v>
          </cell>
          <cell r="J447">
            <v>0</v>
          </cell>
          <cell r="K447">
            <v>0</v>
          </cell>
          <cell r="L447">
            <v>0</v>
          </cell>
          <cell r="M447">
            <v>0</v>
          </cell>
          <cell r="N447" t="e">
            <v>#DIV/0!</v>
          </cell>
          <cell r="O447" t="e">
            <v>#DIV/0!</v>
          </cell>
          <cell r="P447">
            <v>33292.661051686504</v>
          </cell>
          <cell r="Q447">
            <v>712.52953182819454</v>
          </cell>
        </row>
        <row r="448">
          <cell r="C448" t="str">
            <v>Anchor</v>
          </cell>
          <cell r="D448"/>
          <cell r="E448"/>
          <cell r="F448"/>
          <cell r="G448"/>
          <cell r="H448"/>
          <cell r="I448"/>
          <cell r="J448"/>
          <cell r="K448"/>
          <cell r="L448"/>
          <cell r="M448"/>
          <cell r="N448"/>
          <cell r="O448"/>
          <cell r="P448"/>
          <cell r="Q448"/>
        </row>
        <row r="449">
          <cell r="C449" t="str">
            <v>Glass-steel retreating</v>
          </cell>
          <cell r="D449"/>
          <cell r="E449"/>
          <cell r="F449"/>
          <cell r="G449"/>
          <cell r="H449"/>
          <cell r="I449"/>
          <cell r="J449"/>
          <cell r="K449"/>
          <cell r="L449"/>
          <cell r="M449"/>
          <cell r="N449"/>
          <cell r="O449"/>
          <cell r="P449"/>
          <cell r="Q449"/>
        </row>
        <row r="450">
          <cell r="C450" t="str">
            <v>Helical Ribbon</v>
          </cell>
          <cell r="D450"/>
          <cell r="E450"/>
          <cell r="F450"/>
          <cell r="G450"/>
          <cell r="H450"/>
          <cell r="I450"/>
          <cell r="J450"/>
          <cell r="K450"/>
          <cell r="L450"/>
          <cell r="M450"/>
          <cell r="N450"/>
          <cell r="O450"/>
          <cell r="P450"/>
          <cell r="Q450"/>
        </row>
        <row r="451">
          <cell r="C451" t="str">
            <v>No Agitator</v>
          </cell>
          <cell r="D451"/>
          <cell r="E451"/>
          <cell r="F451"/>
          <cell r="G451"/>
          <cell r="H451"/>
          <cell r="I451"/>
          <cell r="J451"/>
          <cell r="K451"/>
          <cell r="L451"/>
          <cell r="M451"/>
          <cell r="N451">
            <v>24.317144248948932</v>
          </cell>
          <cell r="O451">
            <v>8.7652298310064012</v>
          </cell>
          <cell r="P451">
            <v>23.420586540869856</v>
          </cell>
          <cell r="Q451">
            <v>8.4420613582769963</v>
          </cell>
        </row>
        <row r="452">
          <cell r="C452" t="str">
            <v>Paddle</v>
          </cell>
          <cell r="D452">
            <v>0.87</v>
          </cell>
          <cell r="E452">
            <v>0.62</v>
          </cell>
          <cell r="F452">
            <v>0.33</v>
          </cell>
          <cell r="G452">
            <v>0.14000000000000001</v>
          </cell>
          <cell r="H452">
            <v>0</v>
          </cell>
          <cell r="I452">
            <v>0</v>
          </cell>
          <cell r="J452">
            <v>0</v>
          </cell>
          <cell r="K452">
            <v>0</v>
          </cell>
          <cell r="L452">
            <v>0</v>
          </cell>
          <cell r="M452">
            <v>0</v>
          </cell>
          <cell r="N452" t="e">
            <v>#DIV/0!</v>
          </cell>
          <cell r="O452" t="e">
            <v>#DIV/0!</v>
          </cell>
          <cell r="P452">
            <v>20689.010796405186</v>
          </cell>
          <cell r="Q452">
            <v>442.78620906466381</v>
          </cell>
        </row>
        <row r="453">
          <cell r="C453" t="str">
            <v>Propeller</v>
          </cell>
          <cell r="D453">
            <v>1.6E-2</v>
          </cell>
          <cell r="E453">
            <v>0.67</v>
          </cell>
          <cell r="F453">
            <v>0.37</v>
          </cell>
          <cell r="G453">
            <v>0.14000000000000001</v>
          </cell>
          <cell r="H453">
            <v>0.5</v>
          </cell>
          <cell r="I453">
            <v>0</v>
          </cell>
          <cell r="J453">
            <v>0.1</v>
          </cell>
          <cell r="K453">
            <v>0</v>
          </cell>
          <cell r="L453">
            <v>0</v>
          </cell>
          <cell r="M453">
            <v>0</v>
          </cell>
          <cell r="N453" t="e">
            <v>#DIV/0!</v>
          </cell>
          <cell r="O453" t="e">
            <v>#DIV/0!</v>
          </cell>
          <cell r="P453">
            <v>1162.5583663330428</v>
          </cell>
          <cell r="Q453">
            <v>419.04967000016478</v>
          </cell>
        </row>
        <row r="454">
          <cell r="C454" t="str">
            <v>Pumped Circulation (no agitator)</v>
          </cell>
          <cell r="D454"/>
          <cell r="E454"/>
          <cell r="F454"/>
          <cell r="G454"/>
          <cell r="H454"/>
          <cell r="I454"/>
          <cell r="J454"/>
          <cell r="K454"/>
          <cell r="L454"/>
          <cell r="M454"/>
          <cell r="N454"/>
          <cell r="O454">
            <v>45.773235002699764</v>
          </cell>
          <cell r="P454">
            <v>23.420586540869856</v>
          </cell>
          <cell r="Q454">
            <v>8.4420613582769963</v>
          </cell>
        </row>
        <row r="455">
          <cell r="C455" t="str">
            <v>Retreating-blade Turbine</v>
          </cell>
          <cell r="D455">
            <v>1.4</v>
          </cell>
          <cell r="E455">
            <v>0.62</v>
          </cell>
          <cell r="F455">
            <v>0.33</v>
          </cell>
          <cell r="G455">
            <v>0.14000000000000001</v>
          </cell>
          <cell r="H455">
            <v>0</v>
          </cell>
          <cell r="I455">
            <v>0</v>
          </cell>
          <cell r="J455">
            <v>0</v>
          </cell>
          <cell r="K455">
            <v>0</v>
          </cell>
          <cell r="L455">
            <v>0</v>
          </cell>
          <cell r="M455">
            <v>0</v>
          </cell>
          <cell r="N455" t="e">
            <v>#DIV/0!</v>
          </cell>
          <cell r="O455" t="e">
            <v>#DIV/0!</v>
          </cell>
          <cell r="P455">
            <v>33292.661051686504</v>
          </cell>
          <cell r="Q455">
            <v>712.52953182819454</v>
          </cell>
        </row>
        <row r="456">
          <cell r="C456" t="str">
            <v>Turbine (Rushton)</v>
          </cell>
          <cell r="D456">
            <v>0.03</v>
          </cell>
          <cell r="E456">
            <v>0.67</v>
          </cell>
          <cell r="F456">
            <v>0.33</v>
          </cell>
          <cell r="G456">
            <v>0.14000000000000001</v>
          </cell>
          <cell r="H456">
            <v>0.5</v>
          </cell>
          <cell r="I456">
            <v>0</v>
          </cell>
          <cell r="J456">
            <v>0</v>
          </cell>
          <cell r="K456">
            <v>0.2</v>
          </cell>
          <cell r="L456">
            <v>0.5</v>
          </cell>
          <cell r="M456">
            <v>0.15</v>
          </cell>
          <cell r="N456" t="e">
            <v>#DIV/0!</v>
          </cell>
          <cell r="O456" t="e">
            <v>#DIV/0!</v>
          </cell>
          <cell r="P456">
            <v>1720.8782711032773</v>
          </cell>
          <cell r="Q456">
            <v>620.29872434782885</v>
          </cell>
        </row>
        <row r="462">
          <cell r="H462">
            <v>1</v>
          </cell>
        </row>
        <row r="468">
          <cell r="H468">
            <v>2410</v>
          </cell>
        </row>
        <row r="471">
          <cell r="B471" t="str">
            <v/>
          </cell>
          <cell r="C471" t="str">
            <v/>
          </cell>
        </row>
        <row r="472">
          <cell r="B472">
            <v>1</v>
          </cell>
          <cell r="C472" t="str">
            <v>Pressure drop in sidewall determines flow in bottom jacket</v>
          </cell>
        </row>
        <row r="473">
          <cell r="B473" t="str">
            <v/>
          </cell>
          <cell r="C473" t="str">
            <v>Pressure drop in sidewall determines flow in coil</v>
          </cell>
        </row>
        <row r="474">
          <cell r="B474" t="str">
            <v/>
          </cell>
          <cell r="C474" t="str">
            <v>Pressure drop in sidewall determines flow in bttm &amp; coil</v>
          </cell>
        </row>
        <row r="475">
          <cell r="B475" t="str">
            <v/>
          </cell>
          <cell r="C475" t="str">
            <v>Pressure drop in bottom jacket determines flow in coil</v>
          </cell>
        </row>
        <row r="476">
          <cell r="B476" t="str">
            <v/>
          </cell>
          <cell r="C476" t="str">
            <v>Flow computed for single sidewall zone used for bttm jacket</v>
          </cell>
        </row>
      </sheetData>
      <sheetData sheetId="6">
        <row r="19">
          <cell r="A19" t="str">
            <v>xx: Garvin Example from Table 2</v>
          </cell>
        </row>
        <row r="20">
          <cell r="A20" t="str">
            <v>xx: DeDietrich SA-300 Glass-Lined Reactor</v>
          </cell>
        </row>
        <row r="21">
          <cell r="A21" t="str">
            <v>xx: DeDietrich SA-500 Glass-Lined Reactor</v>
          </cell>
        </row>
        <row r="22">
          <cell r="A22" t="str">
            <v>xx: DeDietrich SA-750 Glass-Lined Reactor</v>
          </cell>
        </row>
        <row r="23">
          <cell r="A23" t="str">
            <v>xx: DeDietrich SA-1000 Glass-Lined Reactor</v>
          </cell>
        </row>
        <row r="24">
          <cell r="A24" t="str">
            <v>xx: DeDietrich SA-1500 Glass-Lined Reactor</v>
          </cell>
        </row>
        <row r="25">
          <cell r="A25" t="str">
            <v>xx: DeDietrich SA-2000 Glass-Lined Reactor</v>
          </cell>
        </row>
        <row r="26">
          <cell r="A26" t="str">
            <v>xx: DeDietrich SA-3000 Glass-Lined Reactor</v>
          </cell>
        </row>
        <row r="27">
          <cell r="A27" t="str">
            <v>xx: DeDietrich SA-4000 Glass-Lined Reactor</v>
          </cell>
        </row>
        <row r="28">
          <cell r="A28" t="str">
            <v>xx: DeDietrich SA-5000 Glass-Lined Reactor</v>
          </cell>
        </row>
        <row r="29">
          <cell r="A29" t="str">
            <v>xx: DeDietrich SA-6000 Glass-Lined Reactor</v>
          </cell>
        </row>
        <row r="30">
          <cell r="A30" t="str">
            <v>xx: DeDietrich SA-8000 Glass-Lined Reactor</v>
          </cell>
        </row>
        <row r="31">
          <cell r="A31" t="str">
            <v>xx: DeDietrich SA-10000 Glass-Lined Reactor</v>
          </cell>
        </row>
        <row r="32">
          <cell r="A32" t="str">
            <v>xx: Pfaudler RT-14-5 Glass-Lined Reactor</v>
          </cell>
        </row>
        <row r="33">
          <cell r="A33" t="str">
            <v>xx: Pfaudler RT-14-10 Glass-Lined Reactor</v>
          </cell>
        </row>
        <row r="34">
          <cell r="A34" t="str">
            <v>xx: Pfaudler RT-20-20 Glass-Lined Reactor</v>
          </cell>
        </row>
        <row r="35">
          <cell r="A35" t="str">
            <v>xx: Pfaudler RT-20-30 Glass-Lined Reactor</v>
          </cell>
        </row>
        <row r="36">
          <cell r="A36" t="str">
            <v>xx: Pfaudler RT-24-50 Glass-Lined Reactor</v>
          </cell>
        </row>
        <row r="37">
          <cell r="A37" t="str">
            <v>xx: Pfaudler RT-32-100 Glass-Lined Reactor</v>
          </cell>
        </row>
        <row r="38">
          <cell r="A38" t="str">
            <v>xx: Pfaudler RT-40-200 Glass-Lined Reactor</v>
          </cell>
        </row>
        <row r="39">
          <cell r="A39" t="str">
            <v>xx: Pfaudler RT-48-300 Glass-Lined Reactor</v>
          </cell>
        </row>
        <row r="40">
          <cell r="A40" t="str">
            <v>xx: Pfaudler RT-48-500 Glass-Lined Reactor</v>
          </cell>
        </row>
        <row r="41">
          <cell r="A41" t="str">
            <v>xx: Pfaudler RS-48-300 Glass-Lined Reactor</v>
          </cell>
        </row>
        <row r="42">
          <cell r="A42" t="str">
            <v>xx: Pfaudler RS-48-500 Glass-Lined Reactor</v>
          </cell>
        </row>
        <row r="43">
          <cell r="A43" t="str">
            <v>xx: Pfaudler RS-60-750 Glass-Lined Reactor</v>
          </cell>
        </row>
        <row r="44">
          <cell r="A44" t="str">
            <v>xx: Pfaudler RS-60-1000 Glass-Lined Reactor</v>
          </cell>
        </row>
        <row r="45">
          <cell r="A45" t="str">
            <v>xx: Pfaudler RS-78-1500 Glass-Lined Reactor</v>
          </cell>
        </row>
        <row r="46">
          <cell r="A46" t="str">
            <v>xx: Pfaudler RS-78-2000 Glass-Lined Reactor</v>
          </cell>
        </row>
        <row r="47">
          <cell r="A47" t="str">
            <v>xx: Pfaudler RS-96-3000 Glass-Lined Reactor</v>
          </cell>
        </row>
        <row r="48">
          <cell r="A48" t="str">
            <v>xx: Pfaudler RS-96-4000 Glass-Lined Reactor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Case 1 - External Fire"/>
      <sheetName val="EQUIV. AIR VALIDATION"/>
      <sheetName val="EQUIV. AIR VALIDATION (2)"/>
      <sheetName val="Case 2 - HTng &amp; CLng Cntrl Fail"/>
      <sheetName val="Case 4 - Nitrogen Cntrl Fai (2)"/>
      <sheetName val="Case 4 - Original N. Cntrl Fail"/>
      <sheetName val="Head Area Table"/>
      <sheetName val="Fluids"/>
      <sheetName val="Manufacturing Range"/>
      <sheetName val="Sheet2"/>
    </sheetNames>
    <sheetDataSet>
      <sheetData sheetId="0">
        <row r="39">
          <cell r="C39" t="str">
            <v>Acetone</v>
          </cell>
        </row>
      </sheetData>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e 3 - Split Exchanger Tube"/>
      <sheetName val="Summary"/>
    </sheetNames>
    <sheetDataSet>
      <sheetData sheetId="0" refreshError="1"/>
      <sheetData sheetId="1"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Library/Working%20Documents/Yene.Irvine/Documents/Completed"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Library/Working%20Documents/Yene.Irvine/Documents/Completed"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Library/Working%20Documents/Yene.Irvine/Documents/Templates" TargetMode="External"/><Relationship Id="rId2" Type="http://schemas.openxmlformats.org/officeDocument/2006/relationships/hyperlink" Target="../../../../../../Library/Working%20Documents/Yene.Irvine/Documents/Templates" TargetMode="External"/><Relationship Id="rId1" Type="http://schemas.openxmlformats.org/officeDocument/2006/relationships/hyperlink" Target="../../../../../../Library/Working%20Documents/Yene.Irvine/Documents/Templates" TargetMode="External"/><Relationship Id="rId5" Type="http://schemas.openxmlformats.org/officeDocument/2006/relationships/drawing" Target="../drawings/drawing4.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Library/Working%20Documents/Yene.Irvine/Documents/Complet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3E9F4-8272-4FAC-82AC-47AD411823DC}">
  <sheetPr codeName="Sheet8"/>
  <dimension ref="B3:M34"/>
  <sheetViews>
    <sheetView showGridLines="0" workbookViewId="0">
      <selection activeCell="P25" sqref="P25"/>
    </sheetView>
  </sheetViews>
  <sheetFormatPr baseColWidth="10" defaultColWidth="9.1640625" defaultRowHeight="14" x14ac:dyDescent="0.2"/>
  <cols>
    <col min="1" max="1" width="9.1640625" style="24"/>
    <col min="2" max="2" width="12.5" style="24" customWidth="1"/>
    <col min="3" max="3" width="6.33203125" style="24" customWidth="1"/>
    <col min="4" max="4" width="13.6640625" style="24" customWidth="1"/>
    <col min="5" max="5" width="9.1640625" style="24"/>
    <col min="6" max="7" width="9.1640625" style="24" customWidth="1"/>
    <col min="8" max="16384" width="9.1640625" style="24"/>
  </cols>
  <sheetData>
    <row r="3" spans="2:13" x14ac:dyDescent="0.2">
      <c r="B3" s="54" t="s">
        <v>191</v>
      </c>
      <c r="C3" s="54"/>
      <c r="D3" s="54"/>
      <c r="E3" s="54"/>
      <c r="F3" s="54"/>
      <c r="G3" s="54"/>
      <c r="H3" s="54"/>
      <c r="I3" s="54"/>
    </row>
    <row r="5" spans="2:13" x14ac:dyDescent="0.2">
      <c r="B5" s="363" t="s">
        <v>194</v>
      </c>
      <c r="C5" s="363"/>
      <c r="D5" s="363"/>
      <c r="E5" s="363"/>
      <c r="F5" s="363"/>
      <c r="G5" s="363"/>
      <c r="H5" s="363"/>
      <c r="I5" s="363"/>
      <c r="J5" s="363"/>
    </row>
    <row r="6" spans="2:13" x14ac:dyDescent="0.2">
      <c r="B6" s="363"/>
      <c r="C6" s="363"/>
      <c r="D6" s="363"/>
      <c r="E6" s="363"/>
      <c r="F6" s="363"/>
      <c r="G6" s="363"/>
      <c r="H6" s="363"/>
      <c r="I6" s="363"/>
      <c r="J6" s="363"/>
    </row>
    <row r="7" spans="2:13" x14ac:dyDescent="0.2">
      <c r="B7" s="363"/>
      <c r="C7" s="363"/>
      <c r="D7" s="363"/>
      <c r="E7" s="363"/>
      <c r="F7" s="363"/>
      <c r="G7" s="363"/>
      <c r="H7" s="363"/>
      <c r="I7" s="363"/>
      <c r="J7" s="363"/>
    </row>
    <row r="8" spans="2:13" x14ac:dyDescent="0.2">
      <c r="B8" s="363"/>
      <c r="C8" s="363"/>
      <c r="D8" s="363"/>
      <c r="E8" s="363"/>
      <c r="F8" s="363"/>
      <c r="G8" s="363"/>
      <c r="H8" s="363"/>
      <c r="I8" s="363"/>
      <c r="J8" s="363"/>
    </row>
    <row r="10" spans="2:13" x14ac:dyDescent="0.2">
      <c r="B10" s="176" t="s">
        <v>193</v>
      </c>
      <c r="C10" s="176" t="s">
        <v>24</v>
      </c>
      <c r="D10" s="176" t="s">
        <v>23</v>
      </c>
      <c r="E10" s="364" t="s">
        <v>1</v>
      </c>
      <c r="F10" s="364"/>
      <c r="G10" s="364"/>
      <c r="H10" s="364"/>
      <c r="I10" s="364"/>
      <c r="J10" s="364"/>
    </row>
    <row r="11" spans="2:13" ht="14.25" customHeight="1" x14ac:dyDescent="0.2">
      <c r="B11" s="360">
        <v>0</v>
      </c>
      <c r="C11" s="360" t="s">
        <v>192</v>
      </c>
      <c r="D11" s="362">
        <v>43612</v>
      </c>
      <c r="E11" s="361" t="s">
        <v>208</v>
      </c>
      <c r="F11" s="361"/>
      <c r="G11" s="361"/>
      <c r="H11" s="361"/>
      <c r="I11" s="361"/>
      <c r="J11" s="361"/>
    </row>
    <row r="12" spans="2:13" x14ac:dyDescent="0.2">
      <c r="B12" s="360"/>
      <c r="C12" s="360"/>
      <c r="D12" s="360"/>
      <c r="E12" s="361"/>
      <c r="F12" s="361"/>
      <c r="G12" s="361"/>
      <c r="H12" s="361"/>
      <c r="I12" s="361"/>
      <c r="J12" s="361"/>
    </row>
    <row r="13" spans="2:13" x14ac:dyDescent="0.2">
      <c r="B13" s="360"/>
      <c r="C13" s="360"/>
      <c r="D13" s="360"/>
      <c r="E13" s="361"/>
      <c r="F13" s="361"/>
      <c r="G13" s="361"/>
      <c r="H13" s="361"/>
      <c r="I13" s="361"/>
      <c r="J13" s="361"/>
      <c r="M13" s="311" t="s">
        <v>218</v>
      </c>
    </row>
    <row r="14" spans="2:13" x14ac:dyDescent="0.2">
      <c r="B14" s="360">
        <v>1</v>
      </c>
      <c r="C14" s="360" t="s">
        <v>192</v>
      </c>
      <c r="D14" s="362">
        <v>43612</v>
      </c>
      <c r="E14" s="361" t="s">
        <v>215</v>
      </c>
      <c r="F14" s="361"/>
      <c r="G14" s="361"/>
      <c r="H14" s="361"/>
      <c r="I14" s="361"/>
      <c r="J14" s="361"/>
      <c r="M14" s="24" t="s">
        <v>214</v>
      </c>
    </row>
    <row r="15" spans="2:13" x14ac:dyDescent="0.2">
      <c r="B15" s="360"/>
      <c r="C15" s="360"/>
      <c r="D15" s="360"/>
      <c r="E15" s="361"/>
      <c r="F15" s="361"/>
      <c r="G15" s="361"/>
      <c r="H15" s="361"/>
      <c r="I15" s="361"/>
      <c r="J15" s="361"/>
      <c r="M15" s="24" t="s">
        <v>219</v>
      </c>
    </row>
    <row r="16" spans="2:13" x14ac:dyDescent="0.2">
      <c r="B16" s="360"/>
      <c r="C16" s="360"/>
      <c r="D16" s="360"/>
      <c r="E16" s="361"/>
      <c r="F16" s="361"/>
      <c r="G16" s="361"/>
      <c r="H16" s="361"/>
      <c r="I16" s="361"/>
      <c r="J16" s="361"/>
      <c r="M16" s="24" t="s">
        <v>213</v>
      </c>
    </row>
    <row r="17" spans="2:13" x14ac:dyDescent="0.2">
      <c r="B17" s="360"/>
      <c r="C17" s="360"/>
      <c r="D17" s="360"/>
      <c r="E17" s="361"/>
      <c r="F17" s="361"/>
      <c r="G17" s="361"/>
      <c r="H17" s="361"/>
      <c r="I17" s="361"/>
      <c r="J17" s="361"/>
      <c r="M17" s="24" t="s">
        <v>220</v>
      </c>
    </row>
    <row r="18" spans="2:13" x14ac:dyDescent="0.2">
      <c r="B18" s="360"/>
      <c r="C18" s="360"/>
      <c r="D18" s="360"/>
      <c r="E18" s="361"/>
      <c r="F18" s="361"/>
      <c r="G18" s="361"/>
      <c r="H18" s="361"/>
      <c r="I18" s="361"/>
      <c r="J18" s="361"/>
      <c r="M18" s="24" t="s">
        <v>212</v>
      </c>
    </row>
    <row r="19" spans="2:13" x14ac:dyDescent="0.2">
      <c r="B19" s="360"/>
      <c r="C19" s="360"/>
      <c r="D19" s="360"/>
      <c r="E19" s="361"/>
      <c r="F19" s="361"/>
      <c r="G19" s="361"/>
      <c r="H19" s="361"/>
      <c r="I19" s="361"/>
      <c r="J19" s="361"/>
      <c r="M19" s="24" t="s">
        <v>216</v>
      </c>
    </row>
    <row r="20" spans="2:13" x14ac:dyDescent="0.2">
      <c r="B20" s="360"/>
      <c r="C20" s="360"/>
      <c r="D20" s="360"/>
      <c r="E20" s="361"/>
      <c r="F20" s="361"/>
      <c r="G20" s="361"/>
      <c r="H20" s="361"/>
      <c r="I20" s="361"/>
      <c r="J20" s="361"/>
      <c r="M20" s="24" t="s">
        <v>217</v>
      </c>
    </row>
    <row r="21" spans="2:13" x14ac:dyDescent="0.2">
      <c r="B21" s="360"/>
      <c r="C21" s="360"/>
      <c r="D21" s="360"/>
      <c r="E21" s="361"/>
      <c r="F21" s="361"/>
      <c r="G21" s="361"/>
      <c r="H21" s="361"/>
      <c r="I21" s="361"/>
      <c r="J21" s="361"/>
    </row>
    <row r="22" spans="2:13" x14ac:dyDescent="0.2">
      <c r="B22" s="360"/>
      <c r="C22" s="360"/>
      <c r="D22" s="360"/>
      <c r="E22" s="361"/>
      <c r="F22" s="361"/>
      <c r="G22" s="361"/>
      <c r="H22" s="361"/>
      <c r="I22" s="361"/>
      <c r="J22" s="361"/>
    </row>
    <row r="23" spans="2:13" x14ac:dyDescent="0.2">
      <c r="B23" s="360"/>
      <c r="C23" s="360"/>
      <c r="D23" s="362"/>
      <c r="E23" s="361"/>
      <c r="F23" s="361"/>
      <c r="G23" s="361"/>
      <c r="H23" s="361"/>
      <c r="I23" s="361"/>
      <c r="J23" s="361"/>
    </row>
    <row r="24" spans="2:13" x14ac:dyDescent="0.2">
      <c r="B24" s="360"/>
      <c r="C24" s="360"/>
      <c r="D24" s="360"/>
      <c r="E24" s="361"/>
      <c r="F24" s="361"/>
      <c r="G24" s="361"/>
      <c r="H24" s="361"/>
      <c r="I24" s="361"/>
      <c r="J24" s="361"/>
    </row>
    <row r="25" spans="2:13" x14ac:dyDescent="0.2">
      <c r="B25" s="360"/>
      <c r="C25" s="360"/>
      <c r="D25" s="360"/>
      <c r="E25" s="361"/>
      <c r="F25" s="361"/>
      <c r="G25" s="361"/>
      <c r="H25" s="361"/>
      <c r="I25" s="361"/>
      <c r="J25" s="361"/>
    </row>
    <row r="26" spans="2:13" x14ac:dyDescent="0.2">
      <c r="B26" s="360"/>
      <c r="C26" s="360"/>
      <c r="D26" s="360"/>
      <c r="E26" s="361"/>
      <c r="F26" s="361"/>
      <c r="G26" s="361"/>
      <c r="H26" s="361"/>
      <c r="I26" s="361"/>
      <c r="J26" s="361"/>
    </row>
    <row r="27" spans="2:13" x14ac:dyDescent="0.2">
      <c r="B27" s="360"/>
      <c r="C27" s="360"/>
      <c r="D27" s="360"/>
      <c r="E27" s="361"/>
      <c r="F27" s="361"/>
      <c r="G27" s="361"/>
      <c r="H27" s="361"/>
      <c r="I27" s="361"/>
      <c r="J27" s="361"/>
    </row>
    <row r="28" spans="2:13" x14ac:dyDescent="0.2">
      <c r="B28" s="360"/>
      <c r="C28" s="360"/>
      <c r="D28" s="360"/>
      <c r="E28" s="361"/>
      <c r="F28" s="361"/>
      <c r="G28" s="361"/>
      <c r="H28" s="361"/>
      <c r="I28" s="361"/>
      <c r="J28" s="361"/>
    </row>
    <row r="29" spans="2:13" x14ac:dyDescent="0.2">
      <c r="B29" s="360"/>
      <c r="C29" s="360"/>
      <c r="D29" s="360"/>
      <c r="E29" s="361"/>
      <c r="F29" s="361"/>
      <c r="G29" s="361"/>
      <c r="H29" s="361"/>
      <c r="I29" s="361"/>
      <c r="J29" s="361"/>
    </row>
    <row r="30" spans="2:13" x14ac:dyDescent="0.2">
      <c r="B30" s="360"/>
      <c r="C30" s="360"/>
      <c r="D30" s="360"/>
      <c r="E30" s="361"/>
      <c r="F30" s="361"/>
      <c r="G30" s="361"/>
      <c r="H30" s="361"/>
      <c r="I30" s="361"/>
      <c r="J30" s="361"/>
    </row>
    <row r="31" spans="2:13" x14ac:dyDescent="0.2">
      <c r="B31" s="360"/>
      <c r="C31" s="360"/>
      <c r="D31" s="360"/>
      <c r="E31" s="361"/>
      <c r="F31" s="361"/>
      <c r="G31" s="361"/>
      <c r="H31" s="361"/>
      <c r="I31" s="361"/>
      <c r="J31" s="361"/>
    </row>
    <row r="32" spans="2:13" x14ac:dyDescent="0.2">
      <c r="B32" s="360"/>
      <c r="C32" s="360"/>
      <c r="D32" s="360"/>
      <c r="E32" s="361"/>
      <c r="F32" s="361"/>
      <c r="G32" s="361"/>
      <c r="H32" s="361"/>
      <c r="I32" s="361"/>
      <c r="J32" s="361"/>
    </row>
    <row r="33" spans="2:10" x14ac:dyDescent="0.2">
      <c r="B33" s="360"/>
      <c r="C33" s="360"/>
      <c r="D33" s="360"/>
      <c r="E33" s="361"/>
      <c r="F33" s="361"/>
      <c r="G33" s="361"/>
      <c r="H33" s="361"/>
      <c r="I33" s="361"/>
      <c r="J33" s="361"/>
    </row>
    <row r="34" spans="2:10" x14ac:dyDescent="0.2">
      <c r="B34" s="360"/>
      <c r="C34" s="360"/>
      <c r="D34" s="360"/>
      <c r="E34" s="361"/>
      <c r="F34" s="361"/>
      <c r="G34" s="361"/>
      <c r="H34" s="361"/>
      <c r="I34" s="361"/>
      <c r="J34" s="361"/>
    </row>
  </sheetData>
  <mergeCells count="34">
    <mergeCell ref="B5:J8"/>
    <mergeCell ref="E11:J13"/>
    <mergeCell ref="E14:J16"/>
    <mergeCell ref="E17:J19"/>
    <mergeCell ref="E20:J22"/>
    <mergeCell ref="D11:D13"/>
    <mergeCell ref="B14:B16"/>
    <mergeCell ref="C14:C16"/>
    <mergeCell ref="D14:D16"/>
    <mergeCell ref="B17:B19"/>
    <mergeCell ref="C17:C19"/>
    <mergeCell ref="D17:D19"/>
    <mergeCell ref="B11:B13"/>
    <mergeCell ref="C11:C13"/>
    <mergeCell ref="E10:J10"/>
    <mergeCell ref="B20:B22"/>
    <mergeCell ref="B23:B25"/>
    <mergeCell ref="C23:C25"/>
    <mergeCell ref="D23:D25"/>
    <mergeCell ref="E23:J25"/>
    <mergeCell ref="C20:C22"/>
    <mergeCell ref="D20:D22"/>
    <mergeCell ref="B32:B34"/>
    <mergeCell ref="C32:C34"/>
    <mergeCell ref="D32:D34"/>
    <mergeCell ref="E32:J34"/>
    <mergeCell ref="B26:B28"/>
    <mergeCell ref="C26:C28"/>
    <mergeCell ref="D26:D28"/>
    <mergeCell ref="E26:J28"/>
    <mergeCell ref="B29:B31"/>
    <mergeCell ref="C29:C31"/>
    <mergeCell ref="D29:D31"/>
    <mergeCell ref="E29:J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D136"/>
  <sheetViews>
    <sheetView showGridLines="0" topLeftCell="A31" zoomScaleNormal="100" workbookViewId="0">
      <selection activeCell="D18" sqref="D18"/>
    </sheetView>
  </sheetViews>
  <sheetFormatPr baseColWidth="10" defaultColWidth="8.83203125" defaultRowHeight="14" x14ac:dyDescent="0.2"/>
  <cols>
    <col min="1" max="1" width="2.83203125" style="1" customWidth="1"/>
    <col min="2" max="2" width="11.1640625" style="1" customWidth="1"/>
    <col min="3" max="3" width="32.33203125" style="2" customWidth="1"/>
    <col min="4" max="4" width="17.1640625" style="2" customWidth="1"/>
    <col min="5" max="5" width="11.83203125" style="2" customWidth="1"/>
    <col min="6" max="6" width="10.1640625" style="2" customWidth="1"/>
    <col min="7" max="7" width="10" style="1" customWidth="1"/>
    <col min="8" max="8" width="6.5" style="1" customWidth="1"/>
    <col min="9" max="9" width="8.5" style="1" customWidth="1"/>
    <col min="10" max="10" width="2.83203125" style="1" customWidth="1"/>
    <col min="11" max="16" width="8.83203125" style="1" customWidth="1"/>
    <col min="17" max="17" width="12.33203125" style="3" customWidth="1"/>
    <col min="18" max="19" width="8.83203125" style="1" customWidth="1"/>
    <col min="20" max="20" width="8.83203125" style="4" customWidth="1"/>
    <col min="21" max="21" width="8.83203125" style="5" customWidth="1"/>
    <col min="22" max="22" width="13.5" style="1" customWidth="1"/>
    <col min="23" max="26" width="8.83203125" style="1" customWidth="1"/>
    <col min="27" max="27" width="8.83203125" style="6" customWidth="1"/>
    <col min="28" max="28" width="15.33203125" style="6" customWidth="1"/>
    <col min="29" max="30" width="8.83203125" style="5" customWidth="1"/>
    <col min="31" max="16384" width="8.83203125" style="1"/>
  </cols>
  <sheetData>
    <row r="1" spans="2:30" ht="15" customHeight="1" x14ac:dyDescent="0.2">
      <c r="C1" s="1"/>
      <c r="E1" s="336"/>
      <c r="F1" s="1"/>
      <c r="H1" s="2"/>
      <c r="I1" s="2"/>
      <c r="P1" s="3"/>
      <c r="Q1" s="1"/>
      <c r="S1" s="4"/>
      <c r="T1" s="5"/>
      <c r="U1" s="1"/>
      <c r="Z1" s="6"/>
      <c r="AB1" s="5"/>
      <c r="AD1" s="1"/>
    </row>
    <row r="2" spans="2:30" ht="100.5" customHeight="1" x14ac:dyDescent="0.2">
      <c r="B2" s="31"/>
      <c r="C2" s="32"/>
      <c r="D2" s="431" t="s">
        <v>101</v>
      </c>
      <c r="E2" s="432"/>
      <c r="F2" s="432"/>
      <c r="G2" s="432"/>
      <c r="H2" s="432"/>
      <c r="I2" s="433"/>
      <c r="L2" s="30"/>
      <c r="P2" s="3"/>
      <c r="Q2" s="1"/>
      <c r="S2" s="4"/>
      <c r="T2" s="5"/>
      <c r="U2" s="1"/>
      <c r="Z2" s="6"/>
      <c r="AB2" s="5"/>
      <c r="AD2" s="1"/>
    </row>
    <row r="3" spans="2:30" ht="14.25" customHeight="1" x14ac:dyDescent="0.2">
      <c r="B3" s="198" t="s">
        <v>160</v>
      </c>
      <c r="C3" s="199"/>
      <c r="D3" s="200" t="s">
        <v>161</v>
      </c>
      <c r="E3" s="434" t="s">
        <v>162</v>
      </c>
      <c r="F3" s="434"/>
      <c r="G3" s="434"/>
      <c r="H3" s="434"/>
      <c r="I3" s="434"/>
      <c r="L3" s="465" t="s">
        <v>206</v>
      </c>
      <c r="M3" s="466"/>
      <c r="N3" s="466"/>
      <c r="O3" s="466"/>
      <c r="P3" s="466"/>
      <c r="Q3" s="466"/>
      <c r="R3" s="466"/>
      <c r="S3" s="466"/>
      <c r="T3" s="466"/>
      <c r="U3" s="467"/>
      <c r="Z3" s="6"/>
      <c r="AB3" s="5"/>
      <c r="AD3" s="1"/>
    </row>
    <row r="4" spans="2:30" ht="14.25" customHeight="1" x14ac:dyDescent="0.2">
      <c r="B4" s="440"/>
      <c r="C4" s="441"/>
      <c r="D4" s="337"/>
      <c r="E4" s="202" t="s">
        <v>22</v>
      </c>
      <c r="F4" s="202" t="s">
        <v>23</v>
      </c>
      <c r="G4" s="202" t="s">
        <v>24</v>
      </c>
      <c r="H4" s="434" t="s">
        <v>1</v>
      </c>
      <c r="I4" s="434"/>
      <c r="L4" s="468"/>
      <c r="M4" s="469"/>
      <c r="N4" s="469"/>
      <c r="O4" s="469"/>
      <c r="P4" s="469"/>
      <c r="Q4" s="469"/>
      <c r="R4" s="469"/>
      <c r="S4" s="469"/>
      <c r="T4" s="469"/>
      <c r="U4" s="470"/>
      <c r="Z4" s="6"/>
      <c r="AB4" s="5"/>
      <c r="AD4" s="1"/>
    </row>
    <row r="5" spans="2:30" ht="14.25" customHeight="1" x14ac:dyDescent="0.2">
      <c r="B5" s="203" t="s">
        <v>163</v>
      </c>
      <c r="C5" s="204"/>
      <c r="D5" s="205" t="s">
        <v>23</v>
      </c>
      <c r="E5" s="195"/>
      <c r="F5" s="338"/>
      <c r="G5" s="196"/>
      <c r="H5" s="435"/>
      <c r="I5" s="435"/>
      <c r="L5" s="468"/>
      <c r="M5" s="469"/>
      <c r="N5" s="469"/>
      <c r="O5" s="469"/>
      <c r="P5" s="469"/>
      <c r="Q5" s="469"/>
      <c r="R5" s="469"/>
      <c r="S5" s="469"/>
      <c r="T5" s="469"/>
      <c r="U5" s="470"/>
      <c r="Z5" s="6"/>
      <c r="AB5" s="5"/>
      <c r="AD5" s="1"/>
    </row>
    <row r="6" spans="2:30" ht="14.5" customHeight="1" x14ac:dyDescent="0.2">
      <c r="B6" s="440"/>
      <c r="C6" s="441"/>
      <c r="D6" s="144"/>
      <c r="E6" s="195"/>
      <c r="F6" s="338"/>
      <c r="G6" s="196"/>
      <c r="H6" s="435"/>
      <c r="I6" s="435"/>
      <c r="L6" s="471"/>
      <c r="M6" s="472"/>
      <c r="N6" s="472"/>
      <c r="O6" s="472"/>
      <c r="P6" s="472"/>
      <c r="Q6" s="472"/>
      <c r="R6" s="472"/>
      <c r="S6" s="472"/>
      <c r="T6" s="472"/>
      <c r="U6" s="473"/>
      <c r="Z6" s="6"/>
      <c r="AB6" s="5"/>
      <c r="AD6" s="1"/>
    </row>
    <row r="7" spans="2:30" ht="20.25" customHeight="1" thickBot="1" x14ac:dyDescent="0.25">
      <c r="B7" s="11"/>
      <c r="C7" s="1"/>
      <c r="D7" s="14"/>
      <c r="E7" s="11"/>
      <c r="F7" s="14"/>
      <c r="G7" s="210"/>
      <c r="H7" s="211"/>
      <c r="I7" s="11"/>
      <c r="J7" s="15"/>
      <c r="K7" s="15"/>
      <c r="L7" s="173"/>
      <c r="M7" s="173"/>
      <c r="N7" s="173"/>
      <c r="O7" s="173"/>
      <c r="P7" s="173"/>
      <c r="Q7" s="173"/>
      <c r="R7" s="173"/>
      <c r="S7" s="173"/>
      <c r="T7" s="173"/>
      <c r="U7" s="173"/>
      <c r="V7" s="13"/>
      <c r="W7" s="13"/>
      <c r="X7" s="19"/>
      <c r="Y7" s="19"/>
      <c r="Z7" s="11"/>
      <c r="AA7" s="19"/>
      <c r="AB7" s="11"/>
      <c r="AC7" s="11"/>
      <c r="AD7" s="1"/>
    </row>
    <row r="8" spans="2:30" ht="18.75" customHeight="1" thickBot="1" x14ac:dyDescent="0.3">
      <c r="B8" s="415" t="s">
        <v>100</v>
      </c>
      <c r="C8" s="416"/>
      <c r="D8" s="416"/>
      <c r="E8" s="439"/>
      <c r="F8" s="420" t="s">
        <v>10</v>
      </c>
      <c r="G8" s="421"/>
      <c r="H8" s="421"/>
      <c r="I8" s="422"/>
      <c r="J8" s="7"/>
      <c r="K8" s="7"/>
      <c r="L8" s="365" t="s">
        <v>205</v>
      </c>
      <c r="M8" s="366"/>
      <c r="N8" s="366"/>
      <c r="O8" s="366"/>
      <c r="P8" s="366"/>
      <c r="Q8" s="366"/>
      <c r="R8" s="366"/>
      <c r="S8" s="366"/>
      <c r="T8" s="366"/>
      <c r="U8" s="367"/>
      <c r="V8" s="7"/>
      <c r="W8" s="7"/>
      <c r="X8" s="7"/>
      <c r="Y8" s="7"/>
      <c r="Z8" s="9"/>
      <c r="AA8" s="9"/>
      <c r="AB8" s="10"/>
      <c r="AD8" s="1"/>
    </row>
    <row r="9" spans="2:30" ht="15.75" customHeight="1" x14ac:dyDescent="0.2">
      <c r="B9" s="405" t="s">
        <v>1</v>
      </c>
      <c r="C9" s="406"/>
      <c r="D9" s="63" t="s">
        <v>27</v>
      </c>
      <c r="E9" s="86" t="s">
        <v>32</v>
      </c>
      <c r="F9" s="462"/>
      <c r="G9" s="463"/>
      <c r="H9" s="463"/>
      <c r="I9" s="464"/>
      <c r="J9" s="7"/>
      <c r="K9" s="7"/>
      <c r="L9" s="368"/>
      <c r="M9" s="369"/>
      <c r="N9" s="369"/>
      <c r="O9" s="369"/>
      <c r="P9" s="369"/>
      <c r="Q9" s="369"/>
      <c r="R9" s="369"/>
      <c r="S9" s="369"/>
      <c r="T9" s="369"/>
      <c r="U9" s="370"/>
      <c r="V9" s="7"/>
      <c r="W9" s="7"/>
      <c r="X9" s="7"/>
      <c r="Y9" s="7"/>
      <c r="Z9" s="9"/>
      <c r="AA9" s="9"/>
      <c r="AB9" s="10"/>
      <c r="AD9" s="1"/>
    </row>
    <row r="10" spans="2:30" ht="15" customHeight="1" x14ac:dyDescent="0.2">
      <c r="B10" s="395" t="s">
        <v>57</v>
      </c>
      <c r="C10" s="442"/>
      <c r="D10" s="81"/>
      <c r="E10" s="28"/>
      <c r="F10" s="461"/>
      <c r="G10" s="459"/>
      <c r="H10" s="459"/>
      <c r="I10" s="460"/>
      <c r="J10" s="7"/>
      <c r="K10" s="7"/>
      <c r="L10" s="368"/>
      <c r="M10" s="369"/>
      <c r="N10" s="369"/>
      <c r="O10" s="369"/>
      <c r="P10" s="369"/>
      <c r="Q10" s="369"/>
      <c r="R10" s="369"/>
      <c r="S10" s="369"/>
      <c r="T10" s="369"/>
      <c r="U10" s="370"/>
      <c r="V10" s="7"/>
      <c r="W10" s="7"/>
      <c r="X10" s="7"/>
      <c r="Y10" s="7"/>
      <c r="Z10" s="9"/>
      <c r="AA10" s="9"/>
      <c r="AB10" s="10"/>
      <c r="AD10" s="1"/>
    </row>
    <row r="11" spans="2:30" ht="15" customHeight="1" x14ac:dyDescent="0.2">
      <c r="B11" s="385" t="s">
        <v>29</v>
      </c>
      <c r="C11" s="387"/>
      <c r="D11" s="81"/>
      <c r="E11" s="191" t="s">
        <v>28</v>
      </c>
      <c r="F11" s="456"/>
      <c r="G11" s="457"/>
      <c r="H11" s="457"/>
      <c r="I11" s="458"/>
      <c r="J11" s="7"/>
      <c r="K11" s="7"/>
      <c r="L11" s="368"/>
      <c r="M11" s="369"/>
      <c r="N11" s="369"/>
      <c r="O11" s="369"/>
      <c r="P11" s="369"/>
      <c r="Q11" s="369"/>
      <c r="R11" s="369"/>
      <c r="S11" s="369"/>
      <c r="T11" s="369"/>
      <c r="U11" s="370"/>
      <c r="V11" s="7"/>
      <c r="W11" s="7"/>
      <c r="X11" s="7"/>
      <c r="Y11" s="7"/>
      <c r="Z11" s="9"/>
      <c r="AA11" s="9"/>
      <c r="AB11" s="10"/>
      <c r="AD11" s="1"/>
    </row>
    <row r="12" spans="2:30" ht="15" customHeight="1" x14ac:dyDescent="0.2">
      <c r="B12" s="374" t="s">
        <v>203</v>
      </c>
      <c r="C12" s="404"/>
      <c r="D12" s="81"/>
      <c r="E12" s="191" t="s">
        <v>28</v>
      </c>
      <c r="F12" s="456"/>
      <c r="G12" s="457"/>
      <c r="H12" s="457"/>
      <c r="I12" s="458"/>
      <c r="J12" s="7"/>
      <c r="K12" s="7"/>
      <c r="L12" s="368"/>
      <c r="M12" s="369"/>
      <c r="N12" s="369"/>
      <c r="O12" s="369"/>
      <c r="P12" s="369"/>
      <c r="Q12" s="369"/>
      <c r="R12" s="369"/>
      <c r="S12" s="369"/>
      <c r="T12" s="369"/>
      <c r="U12" s="370"/>
      <c r="V12" s="7"/>
      <c r="W12" s="7"/>
      <c r="X12" s="7"/>
      <c r="Y12" s="7"/>
      <c r="Z12" s="9"/>
      <c r="AA12" s="9"/>
      <c r="AB12" s="10"/>
      <c r="AD12" s="1"/>
    </row>
    <row r="13" spans="2:30" ht="15" customHeight="1" x14ac:dyDescent="0.2">
      <c r="B13" s="400" t="s">
        <v>19</v>
      </c>
      <c r="C13" s="443"/>
      <c r="D13" s="81"/>
      <c r="E13" s="29"/>
      <c r="F13" s="456"/>
      <c r="G13" s="457"/>
      <c r="H13" s="457"/>
      <c r="I13" s="458"/>
      <c r="J13" s="7"/>
      <c r="K13" s="7"/>
      <c r="L13" s="368"/>
      <c r="M13" s="369"/>
      <c r="N13" s="369"/>
      <c r="O13" s="369"/>
      <c r="P13" s="369"/>
      <c r="Q13" s="369"/>
      <c r="R13" s="369"/>
      <c r="S13" s="369"/>
      <c r="T13" s="369"/>
      <c r="U13" s="370"/>
      <c r="V13" s="7"/>
      <c r="W13" s="7"/>
      <c r="X13" s="7"/>
      <c r="Y13" s="7"/>
      <c r="Z13" s="9"/>
      <c r="AA13" s="9"/>
      <c r="AB13" s="10"/>
      <c r="AD13" s="1"/>
    </row>
    <row r="14" spans="2:30" ht="15" customHeight="1" x14ac:dyDescent="0.2">
      <c r="B14" s="385" t="s">
        <v>30</v>
      </c>
      <c r="C14" s="387"/>
      <c r="D14" s="82"/>
      <c r="E14" s="191" t="s">
        <v>43</v>
      </c>
      <c r="F14" s="456"/>
      <c r="G14" s="457"/>
      <c r="H14" s="457"/>
      <c r="I14" s="458"/>
      <c r="J14" s="7"/>
      <c r="K14" s="7"/>
      <c r="L14" s="368"/>
      <c r="M14" s="369"/>
      <c r="N14" s="369"/>
      <c r="O14" s="369"/>
      <c r="P14" s="369"/>
      <c r="Q14" s="369"/>
      <c r="R14" s="369"/>
      <c r="S14" s="369"/>
      <c r="T14" s="369"/>
      <c r="U14" s="370"/>
      <c r="V14" s="7"/>
      <c r="W14" s="7"/>
      <c r="X14" s="7"/>
      <c r="Y14" s="7"/>
      <c r="Z14" s="9"/>
      <c r="AA14" s="9"/>
      <c r="AB14" s="10"/>
      <c r="AD14" s="1"/>
    </row>
    <row r="15" spans="2:30" ht="15" customHeight="1" x14ac:dyDescent="0.2">
      <c r="B15" s="385" t="s">
        <v>3</v>
      </c>
      <c r="C15" s="386"/>
      <c r="D15" s="83" t="s">
        <v>5</v>
      </c>
      <c r="E15" s="69"/>
      <c r="F15" s="459"/>
      <c r="G15" s="459"/>
      <c r="H15" s="459"/>
      <c r="I15" s="460"/>
      <c r="J15" s="7"/>
      <c r="K15" s="7"/>
      <c r="L15" s="368"/>
      <c r="M15" s="369"/>
      <c r="N15" s="369"/>
      <c r="O15" s="369"/>
      <c r="P15" s="369"/>
      <c r="Q15" s="369"/>
      <c r="R15" s="369"/>
      <c r="S15" s="369"/>
      <c r="T15" s="369"/>
      <c r="U15" s="370"/>
      <c r="V15" s="7"/>
      <c r="W15" s="7"/>
      <c r="X15" s="7"/>
      <c r="Y15" s="7"/>
      <c r="Z15" s="9"/>
      <c r="AA15" s="9"/>
      <c r="AB15" s="10"/>
      <c r="AD15" s="1"/>
    </row>
    <row r="16" spans="2:30" ht="15" customHeight="1" x14ac:dyDescent="0.2">
      <c r="B16" s="385" t="s">
        <v>40</v>
      </c>
      <c r="C16" s="387"/>
      <c r="D16" s="84"/>
      <c r="E16" s="37"/>
      <c r="F16" s="456"/>
      <c r="G16" s="457"/>
      <c r="H16" s="457"/>
      <c r="I16" s="458"/>
      <c r="J16" s="7"/>
      <c r="K16" s="7"/>
      <c r="L16" s="368"/>
      <c r="M16" s="369"/>
      <c r="N16" s="369"/>
      <c r="O16" s="369"/>
      <c r="P16" s="369"/>
      <c r="Q16" s="369"/>
      <c r="R16" s="369"/>
      <c r="S16" s="369"/>
      <c r="T16" s="369"/>
      <c r="U16" s="370"/>
      <c r="V16" s="7"/>
      <c r="W16" s="7"/>
      <c r="X16" s="7"/>
      <c r="Y16" s="7"/>
      <c r="Z16" s="9"/>
      <c r="AA16" s="9"/>
      <c r="AB16" s="10"/>
      <c r="AD16" s="1"/>
    </row>
    <row r="17" spans="2:30" ht="15.75" customHeight="1" thickBot="1" x14ac:dyDescent="0.25">
      <c r="B17" s="444" t="s">
        <v>58</v>
      </c>
      <c r="C17" s="445"/>
      <c r="D17" s="38" t="str">
        <f>IF(OR(D11="",D12="",D13=""),"",((PI()*D11*$D12)/144)+(INDEX('Head Area Table'!$B$2:$F$37,(MATCH(D12,'Head Area Table'!$B$2:$B$37,0)),(MATCH(D13,'Head Area Table'!$B$3:$F$3,0)))))</f>
        <v/>
      </c>
      <c r="E17" s="39" t="s">
        <v>125</v>
      </c>
      <c r="F17" s="436"/>
      <c r="G17" s="437"/>
      <c r="H17" s="437"/>
      <c r="I17" s="438"/>
      <c r="J17" s="7"/>
      <c r="K17" s="7"/>
      <c r="L17" s="368"/>
      <c r="M17" s="369"/>
      <c r="N17" s="369"/>
      <c r="O17" s="369"/>
      <c r="P17" s="369"/>
      <c r="Q17" s="369"/>
      <c r="R17" s="369"/>
      <c r="S17" s="369"/>
      <c r="T17" s="369"/>
      <c r="U17" s="370"/>
      <c r="V17" s="7"/>
      <c r="W17" s="7"/>
      <c r="X17" s="7"/>
      <c r="Y17" s="7"/>
      <c r="Z17" s="9"/>
      <c r="AA17" s="9"/>
      <c r="AB17" s="10"/>
      <c r="AD17" s="1"/>
    </row>
    <row r="18" spans="2:30" ht="20.25" customHeight="1" thickBot="1" x14ac:dyDescent="0.25">
      <c r="B18" s="11"/>
      <c r="C18" s="1"/>
      <c r="D18" s="14"/>
      <c r="E18" s="11"/>
      <c r="F18" s="14"/>
      <c r="G18" s="210"/>
      <c r="H18" s="211"/>
      <c r="I18" s="11"/>
      <c r="J18" s="15"/>
      <c r="K18" s="15"/>
      <c r="L18" s="368"/>
      <c r="M18" s="369"/>
      <c r="N18" s="369"/>
      <c r="O18" s="369"/>
      <c r="P18" s="369"/>
      <c r="Q18" s="369"/>
      <c r="R18" s="369"/>
      <c r="S18" s="369"/>
      <c r="T18" s="369"/>
      <c r="U18" s="370"/>
      <c r="V18" s="13"/>
      <c r="W18" s="13"/>
      <c r="X18" s="19"/>
      <c r="Y18" s="19"/>
      <c r="Z18" s="11"/>
      <c r="AA18" s="19"/>
      <c r="AB18" s="11"/>
      <c r="AC18" s="11"/>
      <c r="AD18" s="1"/>
    </row>
    <row r="19" spans="2:30" ht="19" thickBot="1" x14ac:dyDescent="0.3">
      <c r="B19" s="415" t="s">
        <v>124</v>
      </c>
      <c r="C19" s="416"/>
      <c r="D19" s="416"/>
      <c r="E19" s="416"/>
      <c r="F19" s="420" t="s">
        <v>10</v>
      </c>
      <c r="G19" s="421"/>
      <c r="H19" s="421"/>
      <c r="I19" s="422"/>
      <c r="J19" s="7"/>
      <c r="K19" s="7"/>
      <c r="L19" s="368"/>
      <c r="M19" s="369"/>
      <c r="N19" s="369"/>
      <c r="O19" s="369"/>
      <c r="P19" s="369"/>
      <c r="Q19" s="369"/>
      <c r="R19" s="369"/>
      <c r="S19" s="369"/>
      <c r="T19" s="369"/>
      <c r="U19" s="370"/>
      <c r="V19" s="7"/>
      <c r="W19" s="7"/>
      <c r="X19" s="7"/>
      <c r="Y19" s="7"/>
      <c r="Z19" s="9"/>
      <c r="AA19" s="9"/>
      <c r="AB19" s="10"/>
      <c r="AD19" s="1"/>
    </row>
    <row r="20" spans="2:30" ht="15" x14ac:dyDescent="0.2">
      <c r="B20" s="405" t="s">
        <v>1</v>
      </c>
      <c r="C20" s="406"/>
      <c r="D20" s="63" t="s">
        <v>27</v>
      </c>
      <c r="E20" s="64" t="s">
        <v>32</v>
      </c>
      <c r="F20" s="40"/>
      <c r="G20" s="41"/>
      <c r="H20" s="41"/>
      <c r="I20" s="42"/>
      <c r="J20" s="7"/>
      <c r="K20" s="7"/>
      <c r="L20" s="368"/>
      <c r="M20" s="369"/>
      <c r="N20" s="369"/>
      <c r="O20" s="369"/>
      <c r="P20" s="369"/>
      <c r="Q20" s="369"/>
      <c r="R20" s="369"/>
      <c r="S20" s="369"/>
      <c r="T20" s="369"/>
      <c r="U20" s="370"/>
      <c r="V20" s="7"/>
      <c r="W20" s="7"/>
      <c r="X20" s="7"/>
      <c r="Y20" s="7"/>
      <c r="Z20" s="9"/>
      <c r="AA20" s="9"/>
      <c r="AB20" s="10"/>
      <c r="AD20" s="1"/>
    </row>
    <row r="21" spans="2:30" x14ac:dyDescent="0.2">
      <c r="B21" s="190" t="s">
        <v>121</v>
      </c>
      <c r="C21" s="191"/>
      <c r="D21" s="74" t="s">
        <v>209</v>
      </c>
      <c r="E21" s="77"/>
      <c r="F21" s="417"/>
      <c r="G21" s="418"/>
      <c r="H21" s="418"/>
      <c r="I21" s="419"/>
      <c r="J21" s="7"/>
      <c r="K21" s="7"/>
      <c r="L21" s="371"/>
      <c r="M21" s="372"/>
      <c r="N21" s="372"/>
      <c r="O21" s="372"/>
      <c r="P21" s="372"/>
      <c r="Q21" s="372"/>
      <c r="R21" s="372"/>
      <c r="S21" s="372"/>
      <c r="T21" s="372"/>
      <c r="U21" s="373"/>
      <c r="V21" s="7"/>
      <c r="W21" s="7"/>
      <c r="X21" s="7"/>
      <c r="Y21" s="7"/>
      <c r="Z21" s="9"/>
      <c r="AA21" s="9"/>
      <c r="AB21" s="10"/>
      <c r="AD21" s="1"/>
    </row>
    <row r="22" spans="2:30" x14ac:dyDescent="0.2">
      <c r="B22" s="407" t="str">
        <f>IF(D21="Rupture Disc","Burst Pressure","Set Pressure")</f>
        <v>Burst Pressure</v>
      </c>
      <c r="C22" s="408"/>
      <c r="D22" s="94"/>
      <c r="E22" s="95" t="s">
        <v>43</v>
      </c>
      <c r="F22" s="409"/>
      <c r="G22" s="410"/>
      <c r="H22" s="410"/>
      <c r="I22" s="411"/>
      <c r="J22" s="7"/>
      <c r="K22" s="7"/>
      <c r="L22" s="30"/>
      <c r="M22" s="30"/>
      <c r="N22" s="30"/>
      <c r="O22" s="30"/>
      <c r="P22" s="30"/>
      <c r="Q22" s="30"/>
      <c r="R22" s="7"/>
      <c r="S22" s="7"/>
      <c r="T22" s="7"/>
      <c r="U22" s="7"/>
      <c r="V22" s="7"/>
      <c r="W22" s="7"/>
      <c r="X22" s="7"/>
      <c r="Y22" s="7"/>
      <c r="Z22" s="9"/>
      <c r="AA22" s="9"/>
      <c r="AB22" s="10"/>
      <c r="AD22" s="1"/>
    </row>
    <row r="23" spans="2:30" ht="15" customHeight="1" x14ac:dyDescent="0.2">
      <c r="B23" s="385" t="s">
        <v>44</v>
      </c>
      <c r="C23" s="386"/>
      <c r="D23" s="93"/>
      <c r="E23" s="77"/>
      <c r="F23" s="417"/>
      <c r="G23" s="418"/>
      <c r="H23" s="418"/>
      <c r="I23" s="419"/>
      <c r="J23" s="7"/>
      <c r="K23" s="7"/>
      <c r="L23" s="455" t="str">
        <f>IF(D21="","",IF(D21="Relief Valve","These fields (Manufacturer, Model, Size) won't be filled out until after the selection and sizing of the relief device, which won't be be completed until the relief line is modelled using the calculated Design Basis Flow.","These fields (Manufacturer, Model, Size, K Value) won't be filled out until after the selection and sizing of the relief device, which won't be be completed until the relief line is modelled using the calculated Design Basis Flow."))</f>
        <v>These fields (Manufacturer, Model, Size, K Value) won't be filled out until after the selection and sizing of the relief device, which won't be be completed until the relief line is modelled using the calculated Design Basis Flow.</v>
      </c>
      <c r="M23" s="455"/>
      <c r="N23" s="455"/>
      <c r="O23" s="455"/>
      <c r="P23" s="455"/>
      <c r="Q23" s="455"/>
      <c r="R23" s="455"/>
      <c r="S23" s="455"/>
      <c r="T23" s="455"/>
      <c r="U23" s="455"/>
      <c r="V23" s="172"/>
      <c r="W23" s="172"/>
      <c r="X23" s="172"/>
      <c r="Y23" s="7"/>
      <c r="Z23" s="9"/>
      <c r="AA23" s="9"/>
      <c r="AB23" s="10"/>
      <c r="AD23" s="1"/>
    </row>
    <row r="24" spans="2:30" ht="15" customHeight="1" x14ac:dyDescent="0.2">
      <c r="B24" s="385" t="s">
        <v>45</v>
      </c>
      <c r="C24" s="387"/>
      <c r="D24" s="74"/>
      <c r="E24" s="77"/>
      <c r="F24" s="417"/>
      <c r="G24" s="418"/>
      <c r="H24" s="418"/>
      <c r="I24" s="419"/>
      <c r="J24" s="7"/>
      <c r="K24" s="7"/>
      <c r="L24" s="455"/>
      <c r="M24" s="455"/>
      <c r="N24" s="455"/>
      <c r="O24" s="455"/>
      <c r="P24" s="455"/>
      <c r="Q24" s="455"/>
      <c r="R24" s="455"/>
      <c r="S24" s="455"/>
      <c r="T24" s="455"/>
      <c r="U24" s="455"/>
      <c r="V24" s="172"/>
      <c r="W24" s="172"/>
      <c r="X24" s="172"/>
      <c r="Y24" s="7"/>
      <c r="Z24" s="9"/>
      <c r="AA24" s="9"/>
      <c r="AB24" s="10"/>
      <c r="AD24" s="1"/>
    </row>
    <row r="25" spans="2:30" ht="15" customHeight="1" x14ac:dyDescent="0.2">
      <c r="B25" s="385" t="s">
        <v>46</v>
      </c>
      <c r="C25" s="387"/>
      <c r="D25" s="65"/>
      <c r="E25" s="80" t="str">
        <f>IF(D21="Rupture Disc","inches","sq. in.")</f>
        <v>inches</v>
      </c>
      <c r="F25" s="418"/>
      <c r="G25" s="418"/>
      <c r="H25" s="418"/>
      <c r="I25" s="419"/>
      <c r="J25" s="7"/>
      <c r="K25" s="7"/>
      <c r="L25" s="455"/>
      <c r="M25" s="455"/>
      <c r="N25" s="455"/>
      <c r="O25" s="455"/>
      <c r="P25" s="455"/>
      <c r="Q25" s="455"/>
      <c r="R25" s="455"/>
      <c r="S25" s="455"/>
      <c r="T25" s="455"/>
      <c r="U25" s="455"/>
      <c r="V25" s="172"/>
      <c r="W25" s="172"/>
      <c r="X25" s="172"/>
      <c r="Y25" s="7"/>
      <c r="Z25" s="9"/>
      <c r="AA25" s="9"/>
      <c r="AB25" s="10"/>
      <c r="AD25" s="1"/>
    </row>
    <row r="26" spans="2:30" ht="15" customHeight="1" x14ac:dyDescent="0.2">
      <c r="B26" s="385" t="s">
        <v>47</v>
      </c>
      <c r="C26" s="387"/>
      <c r="D26" s="74"/>
      <c r="E26" s="30"/>
      <c r="F26" s="417"/>
      <c r="G26" s="418"/>
      <c r="H26" s="418"/>
      <c r="I26" s="419"/>
      <c r="J26" s="7"/>
      <c r="K26" s="7"/>
      <c r="L26" s="172"/>
      <c r="M26" s="172"/>
      <c r="N26" s="172"/>
      <c r="O26" s="172"/>
      <c r="P26" s="172"/>
      <c r="Q26" s="172"/>
      <c r="R26" s="172"/>
      <c r="S26" s="172"/>
      <c r="T26" s="172"/>
      <c r="U26" s="172"/>
      <c r="V26" s="7"/>
      <c r="W26" s="7"/>
      <c r="X26" s="7"/>
      <c r="Y26" s="7"/>
      <c r="Z26" s="9"/>
      <c r="AA26" s="9"/>
      <c r="AB26" s="10"/>
      <c r="AD26" s="1"/>
    </row>
    <row r="27" spans="2:30" ht="15" customHeight="1" x14ac:dyDescent="0.2">
      <c r="B27" s="374" t="s">
        <v>11</v>
      </c>
      <c r="C27" s="404"/>
      <c r="D27" s="78"/>
      <c r="E27" s="27"/>
      <c r="F27" s="417"/>
      <c r="G27" s="418"/>
      <c r="H27" s="418"/>
      <c r="I27" s="419"/>
      <c r="J27" s="7"/>
      <c r="K27" s="7"/>
      <c r="L27" s="365" t="s">
        <v>195</v>
      </c>
      <c r="M27" s="366"/>
      <c r="N27" s="366"/>
      <c r="O27" s="366"/>
      <c r="P27" s="366"/>
      <c r="Q27" s="366"/>
      <c r="R27" s="366"/>
      <c r="S27" s="366"/>
      <c r="T27" s="366"/>
      <c r="U27" s="367"/>
      <c r="V27" s="7"/>
      <c r="W27" s="7"/>
      <c r="X27" s="7"/>
      <c r="Y27" s="7"/>
      <c r="Z27" s="9"/>
      <c r="AA27" s="9"/>
      <c r="AB27" s="10"/>
      <c r="AD27" s="1"/>
    </row>
    <row r="28" spans="2:30" ht="15" customHeight="1" x14ac:dyDescent="0.2">
      <c r="B28" s="374" t="s">
        <v>12</v>
      </c>
      <c r="C28" s="404"/>
      <c r="D28" s="78"/>
      <c r="E28" s="27"/>
      <c r="F28" s="417"/>
      <c r="G28" s="418"/>
      <c r="H28" s="418"/>
      <c r="I28" s="419"/>
      <c r="J28" s="7"/>
      <c r="K28" s="7"/>
      <c r="L28" s="368"/>
      <c r="M28" s="369"/>
      <c r="N28" s="369"/>
      <c r="O28" s="369"/>
      <c r="P28" s="369"/>
      <c r="Q28" s="369"/>
      <c r="R28" s="369"/>
      <c r="S28" s="369"/>
      <c r="T28" s="369"/>
      <c r="U28" s="370"/>
      <c r="V28" s="7"/>
      <c r="W28" s="7"/>
      <c r="X28" s="7"/>
      <c r="Y28" s="7"/>
      <c r="Z28" s="9"/>
      <c r="AA28" s="9"/>
      <c r="AB28" s="10"/>
      <c r="AD28" s="1"/>
    </row>
    <row r="29" spans="2:30" ht="15" customHeight="1" x14ac:dyDescent="0.2">
      <c r="B29" s="374" t="s">
        <v>59</v>
      </c>
      <c r="C29" s="404"/>
      <c r="D29" s="79">
        <v>1</v>
      </c>
      <c r="E29" s="27"/>
      <c r="F29" s="417"/>
      <c r="G29" s="418"/>
      <c r="H29" s="418"/>
      <c r="I29" s="419"/>
      <c r="J29" s="7"/>
      <c r="K29" s="7"/>
      <c r="L29" s="368"/>
      <c r="M29" s="369"/>
      <c r="N29" s="369"/>
      <c r="O29" s="369"/>
      <c r="P29" s="369"/>
      <c r="Q29" s="369"/>
      <c r="R29" s="369"/>
      <c r="S29" s="369"/>
      <c r="T29" s="369"/>
      <c r="U29" s="370"/>
      <c r="V29" s="7"/>
      <c r="W29" s="7"/>
      <c r="X29" s="7"/>
      <c r="Y29" s="7"/>
      <c r="Z29" s="9"/>
      <c r="AA29" s="9"/>
      <c r="AB29" s="10"/>
      <c r="AD29" s="1"/>
    </row>
    <row r="30" spans="2:30" ht="15" customHeight="1" thickBot="1" x14ac:dyDescent="0.25">
      <c r="B30" s="402" t="s">
        <v>13</v>
      </c>
      <c r="C30" s="403"/>
      <c r="D30" s="36" t="str">
        <f>IF(D22="","",(D22*(1+D27)*(1+D28))*D29)</f>
        <v/>
      </c>
      <c r="E30" s="33" t="s">
        <v>43</v>
      </c>
      <c r="F30" s="428"/>
      <c r="G30" s="429"/>
      <c r="H30" s="429"/>
      <c r="I30" s="430"/>
      <c r="J30" s="15"/>
      <c r="K30" s="15"/>
      <c r="L30" s="371"/>
      <c r="M30" s="372"/>
      <c r="N30" s="372"/>
      <c r="O30" s="372"/>
      <c r="P30" s="372"/>
      <c r="Q30" s="372"/>
      <c r="R30" s="372"/>
      <c r="S30" s="372"/>
      <c r="T30" s="372"/>
      <c r="U30" s="373"/>
      <c r="V30" s="13"/>
      <c r="W30" s="13"/>
      <c r="X30" s="19"/>
      <c r="Y30" s="19"/>
      <c r="Z30" s="11"/>
      <c r="AA30" s="19"/>
      <c r="AB30" s="11"/>
      <c r="AC30" s="11"/>
      <c r="AD30" s="1"/>
    </row>
    <row r="31" spans="2:30" ht="15" customHeight="1" thickBot="1" x14ac:dyDescent="0.25">
      <c r="B31" s="11"/>
      <c r="C31" s="1"/>
      <c r="D31" s="14"/>
      <c r="E31" s="11"/>
      <c r="F31" s="14"/>
      <c r="G31" s="210"/>
      <c r="H31" s="211"/>
      <c r="I31" s="11"/>
      <c r="J31" s="7"/>
      <c r="K31" s="7"/>
      <c r="L31" s="7"/>
      <c r="M31" s="7"/>
      <c r="N31" s="7"/>
      <c r="O31" s="7"/>
      <c r="P31" s="8"/>
      <c r="Q31" s="7"/>
      <c r="R31" s="7"/>
      <c r="S31" s="7"/>
      <c r="T31" s="7"/>
      <c r="U31" s="7"/>
      <c r="V31" s="7"/>
      <c r="W31" s="7"/>
      <c r="X31" s="7"/>
      <c r="Y31" s="7"/>
      <c r="Z31" s="9"/>
      <c r="AA31" s="9"/>
      <c r="AB31" s="10"/>
      <c r="AD31" s="1"/>
    </row>
    <row r="32" spans="2:30" ht="18.75" customHeight="1" thickBot="1" x14ac:dyDescent="0.3">
      <c r="B32" s="415" t="s">
        <v>42</v>
      </c>
      <c r="C32" s="416"/>
      <c r="D32" s="416"/>
      <c r="E32" s="416"/>
      <c r="F32" s="420" t="s">
        <v>10</v>
      </c>
      <c r="G32" s="421"/>
      <c r="H32" s="421"/>
      <c r="I32" s="422"/>
      <c r="J32" s="7"/>
      <c r="K32" s="7"/>
      <c r="L32" s="365" t="s">
        <v>202</v>
      </c>
      <c r="M32" s="366"/>
      <c r="N32" s="366"/>
      <c r="O32" s="366"/>
      <c r="P32" s="366"/>
      <c r="Q32" s="366"/>
      <c r="R32" s="366"/>
      <c r="S32" s="366"/>
      <c r="T32" s="366"/>
      <c r="U32" s="367"/>
      <c r="V32" s="7"/>
      <c r="W32" s="7"/>
      <c r="X32" s="7"/>
      <c r="Y32" s="7"/>
      <c r="Z32" s="9"/>
      <c r="AA32" s="9"/>
      <c r="AB32" s="10"/>
      <c r="AD32" s="1"/>
    </row>
    <row r="33" spans="2:30" ht="15" customHeight="1" x14ac:dyDescent="0.2">
      <c r="B33" s="193" t="s">
        <v>26</v>
      </c>
      <c r="D33" s="74" t="s">
        <v>128</v>
      </c>
      <c r="F33" s="423"/>
      <c r="G33" s="424"/>
      <c r="H33" s="424"/>
      <c r="I33" s="425"/>
      <c r="J33" s="7"/>
      <c r="K33" s="7"/>
      <c r="L33" s="368"/>
      <c r="M33" s="369"/>
      <c r="N33" s="369"/>
      <c r="O33" s="369"/>
      <c r="P33" s="369"/>
      <c r="Q33" s="369"/>
      <c r="R33" s="369"/>
      <c r="S33" s="369"/>
      <c r="T33" s="369"/>
      <c r="U33" s="370"/>
      <c r="V33" s="7"/>
      <c r="W33" s="7"/>
      <c r="X33" s="7"/>
      <c r="Y33" s="7"/>
      <c r="Z33" s="9"/>
      <c r="AA33" s="9"/>
      <c r="AB33" s="10"/>
      <c r="AD33" s="1"/>
    </row>
    <row r="34" spans="2:30" ht="15" customHeight="1" x14ac:dyDescent="0.2">
      <c r="B34" s="193" t="s">
        <v>131</v>
      </c>
      <c r="D34" s="74" t="s">
        <v>128</v>
      </c>
      <c r="F34" s="417"/>
      <c r="G34" s="418"/>
      <c r="H34" s="418"/>
      <c r="I34" s="419"/>
      <c r="J34" s="7"/>
      <c r="K34" s="7"/>
      <c r="L34" s="368"/>
      <c r="M34" s="369"/>
      <c r="N34" s="369"/>
      <c r="O34" s="369"/>
      <c r="P34" s="369"/>
      <c r="Q34" s="369"/>
      <c r="R34" s="369"/>
      <c r="S34" s="369"/>
      <c r="T34" s="369"/>
      <c r="U34" s="370"/>
      <c r="V34" s="7"/>
      <c r="W34" s="7"/>
      <c r="X34" s="7"/>
      <c r="Y34" s="7"/>
      <c r="Z34" s="9"/>
      <c r="AA34" s="9"/>
      <c r="AB34" s="10"/>
      <c r="AD34" s="1"/>
    </row>
    <row r="35" spans="2:30" ht="15" customHeight="1" x14ac:dyDescent="0.2">
      <c r="B35" s="193" t="s">
        <v>133</v>
      </c>
      <c r="D35" s="74" t="s">
        <v>128</v>
      </c>
      <c r="F35" s="417"/>
      <c r="G35" s="418"/>
      <c r="H35" s="418"/>
      <c r="I35" s="419"/>
      <c r="J35" s="7"/>
      <c r="K35" s="7"/>
      <c r="L35" s="371"/>
      <c r="M35" s="372"/>
      <c r="N35" s="372"/>
      <c r="O35" s="372"/>
      <c r="P35" s="372"/>
      <c r="Q35" s="372"/>
      <c r="R35" s="372"/>
      <c r="S35" s="372"/>
      <c r="T35" s="372"/>
      <c r="U35" s="373"/>
      <c r="V35" s="7"/>
      <c r="W35" s="7"/>
      <c r="X35" s="7"/>
      <c r="Y35" s="7"/>
      <c r="Z35" s="9"/>
      <c r="AA35" s="9"/>
      <c r="AB35" s="10"/>
      <c r="AD35" s="1"/>
    </row>
    <row r="36" spans="2:30" ht="15" customHeight="1" x14ac:dyDescent="0.2">
      <c r="B36" s="193" t="s">
        <v>132</v>
      </c>
      <c r="D36" s="74" t="s">
        <v>128</v>
      </c>
      <c r="F36" s="417"/>
      <c r="G36" s="418"/>
      <c r="H36" s="418"/>
      <c r="I36" s="419"/>
      <c r="J36" s="7"/>
      <c r="K36" s="7"/>
      <c r="L36" s="7"/>
      <c r="M36" s="7"/>
      <c r="N36" s="7"/>
      <c r="O36" s="7"/>
      <c r="P36" s="8"/>
      <c r="Q36" s="7"/>
      <c r="R36" s="7"/>
      <c r="S36" s="7"/>
      <c r="T36" s="7"/>
      <c r="U36" s="7"/>
      <c r="V36" s="7"/>
      <c r="W36" s="7"/>
      <c r="X36" s="7"/>
      <c r="Y36" s="7"/>
      <c r="Z36" s="9"/>
      <c r="AA36" s="9"/>
      <c r="AB36" s="10"/>
      <c r="AD36" s="1"/>
    </row>
    <row r="37" spans="2:30" ht="15" customHeight="1" x14ac:dyDescent="0.2">
      <c r="B37" s="193" t="s">
        <v>134</v>
      </c>
      <c r="D37" s="74" t="s">
        <v>7</v>
      </c>
      <c r="F37" s="417"/>
      <c r="G37" s="418"/>
      <c r="H37" s="418"/>
      <c r="I37" s="419"/>
      <c r="J37" s="7"/>
      <c r="K37" s="7"/>
      <c r="L37" s="7"/>
      <c r="M37" s="7"/>
      <c r="N37" s="7"/>
      <c r="O37" s="7"/>
      <c r="P37" s="8"/>
      <c r="Q37" s="7"/>
      <c r="R37" s="7"/>
      <c r="S37" s="7"/>
      <c r="T37" s="7"/>
      <c r="U37" s="7"/>
      <c r="V37" s="7"/>
      <c r="W37" s="7"/>
      <c r="X37" s="7"/>
      <c r="Y37" s="7"/>
      <c r="Z37" s="9"/>
      <c r="AA37" s="9"/>
      <c r="AB37" s="10"/>
      <c r="AD37" s="1"/>
    </row>
    <row r="38" spans="2:30" ht="15" customHeight="1" x14ac:dyDescent="0.2">
      <c r="B38" s="193" t="s">
        <v>135</v>
      </c>
      <c r="D38" s="74" t="s">
        <v>7</v>
      </c>
      <c r="F38" s="417"/>
      <c r="G38" s="418"/>
      <c r="H38" s="418"/>
      <c r="I38" s="419"/>
      <c r="J38" s="7"/>
      <c r="K38" s="7"/>
      <c r="L38" s="7"/>
      <c r="M38" s="7"/>
      <c r="N38" s="7"/>
      <c r="O38" s="7"/>
      <c r="P38" s="8"/>
      <c r="Q38" s="7"/>
      <c r="R38" s="7"/>
      <c r="S38" s="7"/>
      <c r="T38" s="7"/>
      <c r="U38" s="7"/>
      <c r="V38" s="7"/>
      <c r="W38" s="7"/>
      <c r="X38" s="7"/>
      <c r="Y38" s="7"/>
      <c r="Z38" s="9"/>
      <c r="AA38" s="9"/>
      <c r="AB38" s="10"/>
      <c r="AD38" s="1"/>
    </row>
    <row r="39" spans="2:30" ht="15" customHeight="1" thickBot="1" x14ac:dyDescent="0.25">
      <c r="B39" s="192" t="s">
        <v>136</v>
      </c>
      <c r="C39" s="194"/>
      <c r="D39" s="75" t="s">
        <v>7</v>
      </c>
      <c r="E39" s="194"/>
      <c r="F39" s="428"/>
      <c r="G39" s="429"/>
      <c r="H39" s="429"/>
      <c r="I39" s="430"/>
      <c r="J39" s="15"/>
      <c r="K39" s="15"/>
      <c r="L39" s="184"/>
      <c r="M39" s="15"/>
      <c r="N39" s="14"/>
      <c r="O39" s="16"/>
      <c r="P39" s="17"/>
      <c r="Q39" s="18"/>
      <c r="R39" s="14"/>
      <c r="S39" s="15"/>
      <c r="T39" s="15"/>
      <c r="U39" s="13"/>
      <c r="V39" s="13"/>
      <c r="W39" s="13"/>
      <c r="X39" s="19"/>
      <c r="Y39" s="19"/>
      <c r="Z39" s="11"/>
      <c r="AA39" s="19"/>
      <c r="AB39" s="11"/>
      <c r="AC39" s="11"/>
      <c r="AD39" s="1"/>
    </row>
    <row r="40" spans="2:30" ht="18.75" customHeight="1" thickBot="1" x14ac:dyDescent="0.3">
      <c r="B40" s="11"/>
      <c r="C40" s="1"/>
      <c r="D40" s="14"/>
      <c r="E40" s="11"/>
      <c r="F40" s="14"/>
      <c r="G40" s="210"/>
      <c r="H40" s="211"/>
      <c r="I40" s="11"/>
      <c r="J40" s="12"/>
      <c r="K40" s="12"/>
      <c r="L40" s="12"/>
      <c r="M40" s="12"/>
      <c r="N40" s="12"/>
      <c r="O40" s="12"/>
      <c r="P40" s="12"/>
      <c r="Q40" s="12"/>
      <c r="R40" s="12"/>
      <c r="S40" s="12"/>
      <c r="T40" s="12"/>
      <c r="U40" s="12"/>
      <c r="V40" s="12"/>
      <c r="W40" s="12"/>
      <c r="X40" s="12"/>
      <c r="Y40" s="12"/>
      <c r="Z40" s="12"/>
      <c r="AA40" s="12"/>
      <c r="AB40" s="12"/>
      <c r="AD40" s="1"/>
    </row>
    <row r="41" spans="2:30" ht="20" customHeight="1" thickBot="1" x14ac:dyDescent="0.3">
      <c r="B41" s="388" t="s">
        <v>98</v>
      </c>
      <c r="C41" s="389"/>
      <c r="D41" s="389"/>
      <c r="E41" s="389"/>
      <c r="F41" s="390" t="s">
        <v>10</v>
      </c>
      <c r="G41" s="391"/>
      <c r="H41" s="391"/>
      <c r="I41" s="392"/>
      <c r="J41" s="12"/>
      <c r="K41" s="12"/>
      <c r="L41" s="365" t="s">
        <v>207</v>
      </c>
      <c r="M41" s="366"/>
      <c r="N41" s="366"/>
      <c r="O41" s="366"/>
      <c r="P41" s="366"/>
      <c r="Q41" s="366"/>
      <c r="R41" s="366"/>
      <c r="S41" s="366"/>
      <c r="T41" s="366"/>
      <c r="U41" s="367"/>
      <c r="V41" s="12"/>
      <c r="W41" s="12"/>
      <c r="X41" s="12"/>
      <c r="Y41" s="12"/>
      <c r="Z41" s="12"/>
      <c r="AA41" s="12"/>
      <c r="AB41" s="12"/>
      <c r="AD41" s="1"/>
    </row>
    <row r="42" spans="2:30" ht="15" hidden="1" customHeight="1" x14ac:dyDescent="0.25">
      <c r="B42" s="413" t="s">
        <v>1</v>
      </c>
      <c r="C42" s="414"/>
      <c r="D42" s="185" t="s">
        <v>27</v>
      </c>
      <c r="E42" s="187" t="s">
        <v>32</v>
      </c>
      <c r="F42" s="426"/>
      <c r="G42" s="426"/>
      <c r="H42" s="426"/>
      <c r="I42" s="427"/>
      <c r="J42" s="12"/>
      <c r="K42" s="12"/>
      <c r="L42" s="368"/>
      <c r="M42" s="369"/>
      <c r="N42" s="369"/>
      <c r="O42" s="369"/>
      <c r="P42" s="369"/>
      <c r="Q42" s="369"/>
      <c r="R42" s="369"/>
      <c r="S42" s="369"/>
      <c r="T42" s="369"/>
      <c r="U42" s="370"/>
      <c r="V42" s="12"/>
      <c r="W42" s="12"/>
      <c r="X42" s="12"/>
      <c r="Y42" s="12"/>
      <c r="Z42" s="12"/>
      <c r="AA42" s="12"/>
      <c r="AB42" s="12"/>
      <c r="AD42" s="1"/>
    </row>
    <row r="43" spans="2:30" ht="15" customHeight="1" x14ac:dyDescent="0.25">
      <c r="B43" s="385" t="s">
        <v>4</v>
      </c>
      <c r="C43" s="386"/>
      <c r="D43" s="197" t="s">
        <v>7</v>
      </c>
      <c r="E43" s="212"/>
      <c r="F43" s="450"/>
      <c r="G43" s="450"/>
      <c r="H43" s="450"/>
      <c r="I43" s="451"/>
      <c r="J43" s="12"/>
      <c r="K43" s="12"/>
      <c r="L43" s="371"/>
      <c r="M43" s="372"/>
      <c r="N43" s="372"/>
      <c r="O43" s="372"/>
      <c r="P43" s="372"/>
      <c r="Q43" s="372"/>
      <c r="R43" s="372"/>
      <c r="S43" s="372"/>
      <c r="T43" s="372"/>
      <c r="U43" s="373"/>
      <c r="V43" s="12"/>
      <c r="W43" s="12"/>
      <c r="X43" s="12"/>
      <c r="Y43" s="12"/>
      <c r="Z43" s="12"/>
      <c r="AA43" s="12"/>
      <c r="AB43" s="12"/>
      <c r="AD43" s="1"/>
    </row>
    <row r="44" spans="2:30" ht="15" hidden="1" customHeight="1" x14ac:dyDescent="0.25">
      <c r="B44" s="385" t="s">
        <v>0</v>
      </c>
      <c r="C44" s="397"/>
      <c r="D44" s="333" t="str">
        <f>IF(D14="","",D14)</f>
        <v/>
      </c>
      <c r="E44" s="191" t="s">
        <v>43</v>
      </c>
      <c r="F44" s="449"/>
      <c r="G44" s="450"/>
      <c r="H44" s="450"/>
      <c r="I44" s="451"/>
      <c r="J44" s="12"/>
      <c r="K44" s="12"/>
      <c r="L44" s="173"/>
      <c r="M44" s="173"/>
      <c r="N44" s="173"/>
      <c r="O44" s="173"/>
      <c r="P44" s="173"/>
      <c r="Q44" s="173"/>
      <c r="R44" s="173"/>
      <c r="S44" s="173"/>
      <c r="T44" s="173"/>
      <c r="U44" s="173"/>
      <c r="V44" s="12"/>
      <c r="W44" s="12"/>
      <c r="X44" s="12"/>
      <c r="Y44" s="12"/>
      <c r="Z44" s="12"/>
      <c r="AA44" s="12"/>
      <c r="AB44" s="12"/>
      <c r="AD44" s="1"/>
    </row>
    <row r="45" spans="2:30" ht="15" hidden="1" customHeight="1" x14ac:dyDescent="0.25">
      <c r="B45" s="213"/>
      <c r="C45" s="191"/>
      <c r="D45" s="70"/>
      <c r="E45" s="27"/>
      <c r="F45" s="449"/>
      <c r="G45" s="450"/>
      <c r="H45" s="450"/>
      <c r="I45" s="451"/>
      <c r="J45" s="12"/>
      <c r="K45" s="12"/>
      <c r="L45" s="12"/>
      <c r="M45" s="12"/>
      <c r="N45" s="23"/>
      <c r="O45" s="12"/>
      <c r="P45" s="12"/>
      <c r="Q45" s="12"/>
      <c r="R45" s="12"/>
      <c r="S45" s="12"/>
      <c r="T45" s="12"/>
      <c r="U45" s="12"/>
      <c r="V45" s="12"/>
      <c r="W45" s="12"/>
      <c r="X45" s="12"/>
      <c r="Y45" s="12"/>
      <c r="Z45" s="12"/>
      <c r="AA45" s="12"/>
      <c r="AB45" s="12"/>
      <c r="AD45" s="1"/>
    </row>
    <row r="46" spans="2:30" ht="15" hidden="1" customHeight="1" x14ac:dyDescent="0.25">
      <c r="B46" s="400" t="s">
        <v>80</v>
      </c>
      <c r="C46" s="401"/>
      <c r="D46" s="71">
        <f>'Case 1 - External Fire'!C19</f>
        <v>1.21</v>
      </c>
      <c r="E46" s="191" t="s">
        <v>31</v>
      </c>
      <c r="F46" s="449"/>
      <c r="G46" s="450"/>
      <c r="H46" s="450"/>
      <c r="I46" s="451"/>
      <c r="J46" s="12"/>
      <c r="K46" s="12"/>
      <c r="L46" s="12"/>
      <c r="M46" s="12"/>
      <c r="N46" s="23"/>
      <c r="O46" s="12"/>
      <c r="P46" s="12"/>
      <c r="Q46" s="12"/>
      <c r="R46" s="12"/>
      <c r="S46" s="12"/>
      <c r="T46" s="12"/>
      <c r="U46" s="12"/>
      <c r="V46" s="12"/>
      <c r="W46" s="12"/>
      <c r="X46" s="12"/>
      <c r="Y46" s="12"/>
      <c r="Z46" s="12"/>
      <c r="AA46" s="12"/>
      <c r="AB46" s="12"/>
      <c r="AD46" s="1"/>
    </row>
    <row r="47" spans="2:30" ht="15" hidden="1" customHeight="1" x14ac:dyDescent="0.25">
      <c r="B47" s="400" t="s">
        <v>33</v>
      </c>
      <c r="C47" s="401"/>
      <c r="D47" s="72" t="str">
        <f>'Case 1 - External Fire'!C20</f>
        <v/>
      </c>
      <c r="E47" s="191" t="s">
        <v>43</v>
      </c>
      <c r="F47" s="449"/>
      <c r="G47" s="450"/>
      <c r="H47" s="450"/>
      <c r="I47" s="451"/>
      <c r="J47" s="12"/>
      <c r="K47" s="12"/>
      <c r="L47" s="12"/>
      <c r="M47" s="12"/>
      <c r="N47" s="12"/>
      <c r="O47" s="12"/>
      <c r="P47" s="12"/>
      <c r="Q47" s="12"/>
      <c r="R47" s="12"/>
      <c r="S47" s="12"/>
      <c r="T47" s="12"/>
      <c r="U47" s="12"/>
      <c r="V47" s="12"/>
      <c r="W47" s="12"/>
      <c r="X47" s="12"/>
      <c r="Y47" s="12"/>
      <c r="Z47" s="12"/>
      <c r="AA47" s="12"/>
      <c r="AB47" s="12"/>
      <c r="AD47" s="1"/>
    </row>
    <row r="48" spans="2:30" ht="15" hidden="1" customHeight="1" x14ac:dyDescent="0.25">
      <c r="B48" s="385" t="s">
        <v>6</v>
      </c>
      <c r="C48" s="397"/>
      <c r="D48" s="72" t="str">
        <f>IF('Case 1 - External Fire'!C32="","",'Case 1 - External Fire'!C32)</f>
        <v>NFPA 30</v>
      </c>
      <c r="E48" s="191"/>
      <c r="F48" s="449"/>
      <c r="G48" s="450"/>
      <c r="H48" s="450"/>
      <c r="I48" s="451"/>
      <c r="J48" s="12"/>
      <c r="K48" s="12"/>
      <c r="L48" s="12"/>
      <c r="M48" s="12"/>
      <c r="N48" s="12"/>
      <c r="O48" s="12"/>
      <c r="P48" s="12"/>
      <c r="Q48" s="12"/>
      <c r="R48" s="12"/>
      <c r="S48" s="12"/>
      <c r="T48" s="12"/>
      <c r="U48" s="12"/>
      <c r="V48" s="12"/>
      <c r="W48" s="12"/>
      <c r="X48" s="12"/>
      <c r="Y48" s="12"/>
      <c r="Z48" s="12"/>
      <c r="AA48" s="12"/>
      <c r="AB48" s="12"/>
      <c r="AD48" s="1"/>
    </row>
    <row r="49" spans="2:30" ht="15" hidden="1" customHeight="1" x14ac:dyDescent="0.25">
      <c r="B49" s="213"/>
      <c r="C49" s="214"/>
      <c r="D49" s="27"/>
      <c r="E49" s="191"/>
      <c r="F49" s="215"/>
      <c r="G49" s="216"/>
      <c r="H49" s="216"/>
      <c r="I49" s="217"/>
      <c r="J49" s="12"/>
      <c r="K49" s="12"/>
      <c r="L49" s="12"/>
      <c r="M49" s="12"/>
      <c r="N49" s="12"/>
      <c r="O49" s="12"/>
      <c r="P49" s="12"/>
      <c r="Q49" s="12"/>
      <c r="R49" s="12"/>
      <c r="S49" s="12"/>
      <c r="T49" s="12"/>
      <c r="U49" s="12"/>
      <c r="V49" s="12"/>
      <c r="W49" s="12"/>
      <c r="X49" s="12"/>
      <c r="Y49" s="12"/>
      <c r="Z49" s="12"/>
      <c r="AA49" s="12"/>
      <c r="AB49" s="12"/>
      <c r="AD49" s="1"/>
    </row>
    <row r="50" spans="2:30" ht="15" hidden="1" customHeight="1" x14ac:dyDescent="0.25">
      <c r="B50" s="400" t="s">
        <v>9</v>
      </c>
      <c r="C50" s="401"/>
      <c r="D50" s="35" t="str">
        <f>'Case 1 - External Fire'!C17</f>
        <v/>
      </c>
      <c r="E50" s="191"/>
      <c r="F50" s="449"/>
      <c r="G50" s="450"/>
      <c r="H50" s="450"/>
      <c r="I50" s="451"/>
      <c r="J50" s="12"/>
      <c r="K50" s="12"/>
      <c r="L50" s="12"/>
      <c r="M50" s="12"/>
      <c r="N50" s="12"/>
      <c r="O50" s="12"/>
      <c r="P50" s="12"/>
      <c r="Q50" s="12"/>
      <c r="R50" s="12"/>
      <c r="S50" s="12"/>
      <c r="T50" s="12"/>
      <c r="U50" s="12"/>
      <c r="V50" s="12"/>
      <c r="W50" s="12"/>
      <c r="X50" s="12"/>
      <c r="Y50" s="12"/>
      <c r="Z50" s="12"/>
      <c r="AA50" s="12"/>
      <c r="AB50" s="12"/>
      <c r="AD50" s="1"/>
    </row>
    <row r="51" spans="2:30" ht="15" hidden="1" customHeight="1" x14ac:dyDescent="0.25">
      <c r="B51" s="213"/>
      <c r="C51" s="214"/>
      <c r="D51" s="27"/>
      <c r="E51" s="191"/>
      <c r="F51" s="449"/>
      <c r="G51" s="450"/>
      <c r="H51" s="450"/>
      <c r="I51" s="451"/>
      <c r="J51" s="12"/>
      <c r="K51" s="12"/>
      <c r="L51" s="12"/>
      <c r="M51" s="12"/>
      <c r="N51" s="12"/>
      <c r="O51" s="12"/>
      <c r="P51" s="12"/>
      <c r="Q51" s="12"/>
      <c r="R51" s="12"/>
      <c r="S51" s="12"/>
      <c r="T51" s="12"/>
      <c r="U51" s="12"/>
      <c r="V51" s="12"/>
      <c r="W51" s="12"/>
      <c r="X51" s="12"/>
      <c r="Y51" s="12"/>
      <c r="Z51" s="12"/>
      <c r="AA51" s="12"/>
      <c r="AB51" s="12"/>
      <c r="AD51" s="1"/>
    </row>
    <row r="52" spans="2:30" ht="15" hidden="1" customHeight="1" x14ac:dyDescent="0.25">
      <c r="B52" s="385" t="s">
        <v>34</v>
      </c>
      <c r="C52" s="397"/>
      <c r="D52" s="34" t="str">
        <f>'Case 1 - External Fire'!C35</f>
        <v/>
      </c>
      <c r="E52" s="191" t="s">
        <v>123</v>
      </c>
      <c r="F52" s="449"/>
      <c r="G52" s="450"/>
      <c r="H52" s="450"/>
      <c r="I52" s="451"/>
      <c r="J52" s="12"/>
      <c r="K52" s="12"/>
      <c r="L52" s="12"/>
      <c r="M52" s="12"/>
      <c r="N52" s="12"/>
      <c r="O52" s="12"/>
      <c r="P52" s="12"/>
      <c r="Q52" s="12"/>
      <c r="R52" s="12"/>
      <c r="S52" s="12"/>
      <c r="T52" s="12"/>
      <c r="U52" s="12"/>
      <c r="V52" s="12"/>
      <c r="W52" s="12"/>
      <c r="X52" s="12"/>
      <c r="Y52" s="12"/>
      <c r="Z52" s="12"/>
      <c r="AA52" s="12"/>
      <c r="AB52" s="12"/>
      <c r="AD52" s="1"/>
    </row>
    <row r="53" spans="2:30" ht="15" hidden="1" customHeight="1" x14ac:dyDescent="0.25">
      <c r="B53" s="374" t="s">
        <v>35</v>
      </c>
      <c r="C53" s="375"/>
      <c r="D53" s="358" t="str">
        <f>'Case 1 - External Fire'!C36</f>
        <v/>
      </c>
      <c r="E53" s="191" t="s">
        <v>123</v>
      </c>
      <c r="F53" s="449"/>
      <c r="G53" s="450"/>
      <c r="H53" s="450"/>
      <c r="I53" s="451"/>
      <c r="J53" s="12"/>
      <c r="K53" s="12"/>
      <c r="L53" s="12"/>
      <c r="M53" s="12"/>
      <c r="N53" s="12"/>
      <c r="O53" s="12"/>
      <c r="P53" s="12"/>
      <c r="Q53" s="12"/>
      <c r="R53" s="12"/>
      <c r="S53" s="12"/>
      <c r="T53" s="12"/>
      <c r="U53" s="12"/>
      <c r="V53" s="12"/>
      <c r="W53" s="12"/>
      <c r="X53" s="12"/>
      <c r="Y53" s="12"/>
      <c r="Z53" s="12"/>
      <c r="AA53" s="12"/>
      <c r="AB53" s="12"/>
      <c r="AD53" s="1"/>
    </row>
    <row r="54" spans="2:30" ht="15" hidden="1" customHeight="1" x14ac:dyDescent="0.25">
      <c r="B54" s="374" t="s">
        <v>182</v>
      </c>
      <c r="C54" s="384"/>
      <c r="D54" s="83" t="str">
        <f>'Case 1 - External Fire'!C38</f>
        <v>Not enough info</v>
      </c>
      <c r="E54" s="359"/>
      <c r="F54" s="341"/>
      <c r="G54" s="341"/>
      <c r="H54" s="341"/>
      <c r="I54" s="342"/>
      <c r="J54" s="12"/>
      <c r="K54" s="12"/>
      <c r="L54" s="12"/>
      <c r="M54" s="12"/>
      <c r="N54" s="12"/>
      <c r="O54" s="12"/>
      <c r="P54" s="12"/>
      <c r="Q54" s="12"/>
      <c r="R54" s="12"/>
      <c r="S54" s="12"/>
      <c r="T54" s="12"/>
      <c r="U54" s="12"/>
      <c r="V54" s="12"/>
      <c r="W54" s="12"/>
      <c r="X54" s="12"/>
      <c r="Y54" s="12"/>
      <c r="Z54" s="12"/>
      <c r="AA54" s="12"/>
      <c r="AB54" s="12"/>
      <c r="AD54" s="1"/>
    </row>
    <row r="55" spans="2:30" ht="15" hidden="1" customHeight="1" x14ac:dyDescent="0.25">
      <c r="B55" s="218"/>
      <c r="E55" s="219"/>
      <c r="I55" s="220"/>
      <c r="J55" s="12"/>
      <c r="K55" s="12"/>
      <c r="L55" s="12"/>
      <c r="M55" s="12"/>
      <c r="N55" s="12"/>
      <c r="O55" s="12"/>
      <c r="P55" s="12"/>
      <c r="Q55" s="12"/>
      <c r="R55" s="12"/>
      <c r="S55" s="12"/>
      <c r="T55" s="12"/>
      <c r="U55" s="12"/>
      <c r="V55" s="12"/>
      <c r="W55" s="12"/>
      <c r="X55" s="12"/>
      <c r="Y55" s="12"/>
      <c r="Z55" s="12"/>
      <c r="AA55" s="12"/>
      <c r="AB55" s="12"/>
      <c r="AD55" s="1"/>
    </row>
    <row r="56" spans="2:30" ht="15" hidden="1" customHeight="1" x14ac:dyDescent="0.25">
      <c r="B56" s="400" t="s">
        <v>36</v>
      </c>
      <c r="C56" s="401"/>
      <c r="D56" s="92" t="str">
        <f>'Case 1 - External Fire'!C22</f>
        <v/>
      </c>
      <c r="E56" s="191" t="s">
        <v>43</v>
      </c>
      <c r="F56" s="449"/>
      <c r="G56" s="450"/>
      <c r="H56" s="450"/>
      <c r="I56" s="451"/>
      <c r="J56" s="12"/>
      <c r="K56" s="12"/>
      <c r="L56" s="12"/>
      <c r="M56" s="12"/>
      <c r="N56" s="12"/>
      <c r="O56" s="12"/>
      <c r="P56" s="12"/>
      <c r="Q56" s="12"/>
      <c r="R56" s="12"/>
      <c r="S56" s="12"/>
      <c r="T56" s="12"/>
      <c r="U56" s="12"/>
      <c r="V56" s="12"/>
      <c r="W56" s="12"/>
      <c r="X56" s="12"/>
      <c r="Y56" s="12"/>
      <c r="Z56" s="12"/>
      <c r="AA56" s="12"/>
      <c r="AB56" s="12"/>
      <c r="AD56" s="1"/>
    </row>
    <row r="57" spans="2:30" ht="15" hidden="1" customHeight="1" x14ac:dyDescent="0.25">
      <c r="B57" s="190" t="s">
        <v>37</v>
      </c>
      <c r="C57" s="191"/>
      <c r="D57" s="73" t="str">
        <f>IF('Case 1 - External Fire'!C50="","",'Case 1 - External Fire'!C50)</f>
        <v/>
      </c>
      <c r="E57" s="191" t="s">
        <v>43</v>
      </c>
      <c r="F57" s="340"/>
      <c r="G57" s="341"/>
      <c r="H57" s="341"/>
      <c r="I57" s="342"/>
      <c r="J57" s="12"/>
      <c r="K57" s="12"/>
      <c r="L57" s="12"/>
      <c r="M57" s="12"/>
      <c r="N57" s="12"/>
      <c r="O57" s="12"/>
      <c r="P57" s="12"/>
      <c r="Q57" s="12"/>
      <c r="R57" s="12"/>
      <c r="S57" s="12"/>
      <c r="T57" s="12"/>
      <c r="U57" s="12"/>
      <c r="V57" s="12"/>
      <c r="W57" s="12"/>
      <c r="X57" s="12"/>
      <c r="Y57" s="12"/>
      <c r="Z57" s="12"/>
      <c r="AA57" s="12"/>
      <c r="AB57" s="12"/>
      <c r="AD57" s="1"/>
    </row>
    <row r="58" spans="2:30" ht="15" hidden="1" customHeight="1" x14ac:dyDescent="0.25">
      <c r="B58" s="385" t="s">
        <v>39</v>
      </c>
      <c r="C58" s="386"/>
      <c r="D58" s="91" t="str">
        <f>IF('Case 1 - External Fire'!C51="","",'Case 1 - External Fire'!C51)</f>
        <v/>
      </c>
      <c r="E58" s="191" t="s">
        <v>43</v>
      </c>
      <c r="F58" s="449"/>
      <c r="G58" s="450"/>
      <c r="H58" s="450"/>
      <c r="I58" s="451"/>
      <c r="J58" s="12"/>
      <c r="K58" s="12"/>
      <c r="L58" s="12"/>
      <c r="M58" s="12"/>
      <c r="N58" s="12"/>
      <c r="O58" s="12"/>
      <c r="P58" s="12"/>
      <c r="Q58" s="12"/>
      <c r="R58" s="12"/>
      <c r="S58" s="12"/>
      <c r="T58" s="12"/>
      <c r="U58" s="12"/>
      <c r="V58" s="12"/>
      <c r="W58" s="12"/>
      <c r="X58" s="12"/>
      <c r="Y58" s="12"/>
      <c r="Z58" s="12"/>
      <c r="AA58" s="12"/>
      <c r="AB58" s="12"/>
      <c r="AD58" s="1"/>
    </row>
    <row r="59" spans="2:30" ht="15" hidden="1" customHeight="1" x14ac:dyDescent="0.25">
      <c r="B59" s="374" t="s">
        <v>38</v>
      </c>
      <c r="C59" s="375"/>
      <c r="D59" s="72" t="str">
        <f>'Case 1 - External Fire'!C52</f>
        <v/>
      </c>
      <c r="E59" s="191" t="s">
        <v>43</v>
      </c>
      <c r="F59" s="449"/>
      <c r="G59" s="450"/>
      <c r="H59" s="450"/>
      <c r="I59" s="451"/>
      <c r="J59" s="12"/>
      <c r="K59" s="12"/>
      <c r="L59" s="12"/>
      <c r="M59" s="12"/>
      <c r="N59" s="12"/>
      <c r="O59" s="12"/>
      <c r="P59" s="12"/>
      <c r="Q59" s="12"/>
      <c r="R59" s="12"/>
      <c r="S59" s="12"/>
      <c r="T59" s="12"/>
      <c r="U59" s="12"/>
      <c r="V59" s="12"/>
      <c r="W59" s="12"/>
      <c r="X59" s="12"/>
      <c r="Y59" s="12"/>
      <c r="Z59" s="12"/>
      <c r="AA59" s="12"/>
      <c r="AB59" s="12"/>
      <c r="AD59" s="1"/>
    </row>
    <row r="60" spans="2:30" ht="15" hidden="1" customHeight="1" x14ac:dyDescent="0.25">
      <c r="B60" s="221"/>
      <c r="C60" s="222"/>
      <c r="D60" s="76"/>
      <c r="E60" s="191"/>
      <c r="F60" s="449"/>
      <c r="G60" s="450"/>
      <c r="H60" s="450"/>
      <c r="I60" s="451"/>
      <c r="J60" s="12"/>
      <c r="K60" s="12"/>
      <c r="L60" s="12"/>
      <c r="M60" s="12"/>
      <c r="N60" s="12"/>
      <c r="O60" s="12"/>
      <c r="P60" s="12"/>
      <c r="Q60" s="12"/>
      <c r="R60" s="12"/>
      <c r="S60" s="12"/>
      <c r="T60" s="12"/>
      <c r="U60" s="12"/>
      <c r="V60" s="12"/>
      <c r="W60" s="12"/>
      <c r="X60" s="12"/>
      <c r="Y60" s="12"/>
      <c r="Z60" s="12"/>
      <c r="AA60" s="12"/>
      <c r="AB60" s="12"/>
      <c r="AD60" s="1"/>
    </row>
    <row r="61" spans="2:30" ht="15" hidden="1" customHeight="1" thickBot="1" x14ac:dyDescent="0.25">
      <c r="B61" s="379" t="s">
        <v>104</v>
      </c>
      <c r="C61" s="380"/>
      <c r="D61" s="85" t="str">
        <f>IF(D43="No","N/A",'Case 1 - External Fire'!C57)</f>
        <v>N/A</v>
      </c>
      <c r="E61" s="223"/>
      <c r="F61" s="446"/>
      <c r="G61" s="447"/>
      <c r="H61" s="447"/>
      <c r="I61" s="448"/>
      <c r="J61" s="15"/>
      <c r="K61" s="15"/>
      <c r="L61" s="15"/>
      <c r="M61" s="15"/>
      <c r="N61" s="14"/>
      <c r="O61" s="16"/>
      <c r="P61" s="17"/>
      <c r="Q61" s="18"/>
      <c r="R61" s="14"/>
      <c r="S61" s="15"/>
      <c r="T61" s="15"/>
      <c r="U61" s="13"/>
      <c r="V61" s="13"/>
      <c r="W61" s="13"/>
      <c r="X61" s="19"/>
      <c r="Y61" s="19"/>
      <c r="Z61" s="11"/>
      <c r="AA61" s="19"/>
      <c r="AB61" s="11"/>
      <c r="AC61" s="11"/>
      <c r="AD61" s="1"/>
    </row>
    <row r="62" spans="2:30" ht="20" customHeight="1" thickBot="1" x14ac:dyDescent="0.3">
      <c r="B62" s="11"/>
      <c r="C62" s="1"/>
      <c r="D62" s="14"/>
      <c r="E62" s="11"/>
      <c r="F62" s="14"/>
      <c r="G62" s="210"/>
      <c r="H62" s="211"/>
      <c r="I62" s="11"/>
      <c r="J62" s="12"/>
      <c r="K62" s="12"/>
      <c r="L62" s="12"/>
      <c r="M62" s="12"/>
      <c r="N62" s="12"/>
      <c r="O62" s="12"/>
      <c r="P62" s="12"/>
      <c r="Q62" s="12"/>
      <c r="R62" s="12"/>
      <c r="S62" s="12"/>
      <c r="T62" s="12"/>
      <c r="U62" s="12"/>
      <c r="V62" s="12"/>
      <c r="W62" s="12"/>
      <c r="X62" s="12"/>
      <c r="Y62" s="12"/>
      <c r="Z62" s="12"/>
      <c r="AA62" s="12"/>
      <c r="AB62" s="12"/>
      <c r="AD62" s="1"/>
    </row>
    <row r="63" spans="2:30" ht="20" customHeight="1" thickBot="1" x14ac:dyDescent="0.3">
      <c r="B63" s="388" t="s">
        <v>129</v>
      </c>
      <c r="C63" s="389"/>
      <c r="D63" s="389"/>
      <c r="E63" s="389"/>
      <c r="F63" s="390" t="s">
        <v>10</v>
      </c>
      <c r="G63" s="391"/>
      <c r="H63" s="391"/>
      <c r="I63" s="392"/>
      <c r="J63" s="12"/>
      <c r="K63" s="12"/>
      <c r="L63" s="12"/>
      <c r="M63" s="12"/>
      <c r="N63" s="12"/>
      <c r="O63" s="12"/>
      <c r="P63" s="12"/>
      <c r="Q63" s="12"/>
      <c r="R63" s="12"/>
      <c r="S63" s="12"/>
      <c r="T63" s="12"/>
      <c r="U63" s="12"/>
      <c r="V63" s="12"/>
      <c r="W63" s="12"/>
      <c r="X63" s="12"/>
      <c r="Y63" s="12"/>
      <c r="Z63" s="12"/>
      <c r="AA63" s="12"/>
      <c r="AB63" s="12"/>
      <c r="AD63" s="1"/>
    </row>
    <row r="64" spans="2:30" ht="15" hidden="1" customHeight="1" x14ac:dyDescent="0.25">
      <c r="B64" s="398" t="s">
        <v>1</v>
      </c>
      <c r="C64" s="399"/>
      <c r="D64" s="185" t="s">
        <v>27</v>
      </c>
      <c r="E64" s="186" t="s">
        <v>32</v>
      </c>
      <c r="F64" s="461"/>
      <c r="G64" s="459"/>
      <c r="H64" s="459"/>
      <c r="I64" s="460"/>
      <c r="J64" s="12"/>
      <c r="K64" s="12"/>
      <c r="L64" s="12"/>
      <c r="M64" s="12"/>
      <c r="N64" s="12"/>
      <c r="O64" s="12"/>
      <c r="P64" s="12"/>
      <c r="Q64" s="12"/>
      <c r="R64" s="12"/>
      <c r="S64" s="12"/>
      <c r="T64" s="12"/>
      <c r="U64" s="12"/>
      <c r="V64" s="12"/>
      <c r="W64" s="12"/>
      <c r="X64" s="12"/>
      <c r="Y64" s="12"/>
      <c r="Z64" s="12"/>
      <c r="AA64" s="12"/>
      <c r="AB64" s="12"/>
      <c r="AD64" s="1"/>
    </row>
    <row r="65" spans="2:30" ht="15" customHeight="1" x14ac:dyDescent="0.25">
      <c r="B65" s="395" t="s">
        <v>4</v>
      </c>
      <c r="C65" s="396"/>
      <c r="D65" s="188" t="s">
        <v>7</v>
      </c>
      <c r="E65" s="191"/>
      <c r="F65" s="376"/>
      <c r="G65" s="377"/>
      <c r="H65" s="377"/>
      <c r="I65" s="378"/>
      <c r="J65" s="12"/>
      <c r="K65" s="12"/>
      <c r="L65" s="12"/>
      <c r="M65" s="12"/>
      <c r="N65" s="12"/>
      <c r="O65" s="12"/>
      <c r="P65" s="12"/>
      <c r="Q65" s="12"/>
      <c r="R65" s="12"/>
      <c r="S65" s="12"/>
      <c r="T65" s="12"/>
      <c r="U65" s="12"/>
      <c r="V65" s="12"/>
      <c r="W65" s="12"/>
      <c r="X65" s="12"/>
      <c r="Y65" s="12"/>
      <c r="Z65" s="12"/>
      <c r="AA65" s="12"/>
      <c r="AB65" s="12"/>
      <c r="AD65" s="1"/>
    </row>
    <row r="66" spans="2:30" ht="15" hidden="1" customHeight="1" x14ac:dyDescent="0.25">
      <c r="B66" s="374" t="s">
        <v>0</v>
      </c>
      <c r="C66" s="375"/>
      <c r="D66" s="334" t="str">
        <f>IF(D14="","",D14)</f>
        <v/>
      </c>
      <c r="E66" s="191" t="s">
        <v>43</v>
      </c>
      <c r="F66" s="376"/>
      <c r="G66" s="377"/>
      <c r="H66" s="377"/>
      <c r="I66" s="378"/>
      <c r="J66" s="12"/>
      <c r="K66" s="12"/>
      <c r="L66" s="12"/>
      <c r="M66" s="12"/>
      <c r="N66" s="12"/>
      <c r="O66" s="12"/>
      <c r="P66" s="12"/>
      <c r="Q66" s="12"/>
      <c r="R66" s="12"/>
      <c r="S66" s="12"/>
      <c r="T66" s="12"/>
      <c r="U66" s="12"/>
      <c r="V66" s="12"/>
      <c r="W66" s="12"/>
      <c r="X66" s="12"/>
      <c r="Y66" s="12"/>
      <c r="Z66" s="12"/>
      <c r="AA66" s="12"/>
      <c r="AB66" s="12"/>
      <c r="AD66" s="1"/>
    </row>
    <row r="67" spans="2:30" ht="15" hidden="1" customHeight="1" x14ac:dyDescent="0.25">
      <c r="B67" s="224"/>
      <c r="C67" s="214"/>
      <c r="D67" s="27"/>
      <c r="E67" s="191"/>
      <c r="F67" s="376"/>
      <c r="G67" s="377"/>
      <c r="H67" s="377"/>
      <c r="I67" s="378"/>
      <c r="J67" s="12"/>
      <c r="K67" s="12"/>
      <c r="L67" s="12"/>
      <c r="M67" s="12"/>
      <c r="N67" s="12"/>
      <c r="O67" s="12"/>
      <c r="P67" s="12"/>
      <c r="Q67" s="12"/>
      <c r="R67" s="12"/>
      <c r="S67" s="12"/>
      <c r="T67" s="12"/>
      <c r="U67" s="12"/>
      <c r="V67" s="12"/>
      <c r="W67" s="12"/>
      <c r="X67" s="12"/>
      <c r="Y67" s="12"/>
      <c r="Z67" s="12"/>
      <c r="AA67" s="12"/>
      <c r="AB67" s="12"/>
      <c r="AD67" s="1"/>
    </row>
    <row r="68" spans="2:30" ht="15" hidden="1" customHeight="1" x14ac:dyDescent="0.25">
      <c r="B68" s="385" t="s">
        <v>80</v>
      </c>
      <c r="C68" s="397"/>
      <c r="D68" s="87" t="str">
        <f>IF('Case 2 - Nitrogen Cntrl Failure'!C11="","",'Case 2 - Nitrogen Cntrl Failure'!C11)</f>
        <v/>
      </c>
      <c r="E68" s="191" t="s">
        <v>31</v>
      </c>
      <c r="F68" s="376"/>
      <c r="G68" s="377"/>
      <c r="H68" s="377"/>
      <c r="I68" s="378"/>
      <c r="J68" s="12"/>
      <c r="K68" s="12"/>
      <c r="L68" s="12"/>
      <c r="M68" s="12"/>
      <c r="N68" s="12"/>
      <c r="O68" s="12"/>
      <c r="P68" s="12"/>
      <c r="Q68" s="12"/>
      <c r="R68" s="12"/>
      <c r="S68" s="12"/>
      <c r="T68" s="12"/>
      <c r="U68" s="12"/>
      <c r="V68" s="12"/>
      <c r="W68" s="12"/>
      <c r="X68" s="12"/>
      <c r="Y68" s="12"/>
      <c r="Z68" s="12"/>
      <c r="AA68" s="12"/>
      <c r="AB68" s="12"/>
      <c r="AD68" s="1"/>
    </row>
    <row r="69" spans="2:30" ht="15" hidden="1" customHeight="1" x14ac:dyDescent="0.25">
      <c r="B69" s="374" t="s">
        <v>33</v>
      </c>
      <c r="C69" s="375"/>
      <c r="D69" s="174" t="str">
        <f>IF('Case 2 - Nitrogen Cntrl Failure'!C12="","",'Case 2 - Nitrogen Cntrl Failure'!C12)</f>
        <v/>
      </c>
      <c r="E69" s="191" t="s">
        <v>43</v>
      </c>
      <c r="F69" s="376"/>
      <c r="G69" s="377"/>
      <c r="H69" s="377"/>
      <c r="I69" s="378"/>
      <c r="J69" s="12"/>
      <c r="K69" s="12"/>
      <c r="L69" s="12"/>
      <c r="M69" s="12"/>
      <c r="N69" s="12"/>
      <c r="O69" s="12"/>
      <c r="P69" s="12"/>
      <c r="Q69" s="12"/>
      <c r="R69" s="12"/>
      <c r="S69" s="12"/>
      <c r="T69" s="12"/>
      <c r="U69" s="12"/>
      <c r="V69" s="12"/>
      <c r="W69" s="12"/>
      <c r="X69" s="12"/>
      <c r="Y69" s="12"/>
      <c r="Z69" s="12"/>
      <c r="AA69" s="12"/>
      <c r="AB69" s="12"/>
      <c r="AD69" s="1"/>
    </row>
    <row r="70" spans="2:30" ht="15" hidden="1" customHeight="1" x14ac:dyDescent="0.25">
      <c r="B70" s="224"/>
      <c r="C70" s="222"/>
      <c r="D70" s="27"/>
      <c r="E70" s="191"/>
      <c r="F70" s="376"/>
      <c r="G70" s="377"/>
      <c r="H70" s="377"/>
      <c r="I70" s="378"/>
      <c r="J70" s="12"/>
      <c r="K70" s="12"/>
      <c r="L70" s="12"/>
      <c r="M70" s="12"/>
      <c r="N70" s="12"/>
      <c r="O70" s="12"/>
      <c r="P70" s="12"/>
      <c r="Q70" s="12"/>
      <c r="R70" s="12"/>
      <c r="S70" s="12"/>
      <c r="T70" s="12"/>
      <c r="U70" s="12"/>
      <c r="V70" s="12"/>
      <c r="W70" s="12"/>
      <c r="X70" s="12"/>
      <c r="Y70" s="12"/>
      <c r="Z70" s="12"/>
      <c r="AA70" s="12"/>
      <c r="AB70" s="12"/>
      <c r="AD70" s="1"/>
    </row>
    <row r="71" spans="2:30" ht="15" hidden="1" customHeight="1" x14ac:dyDescent="0.25">
      <c r="B71" s="385" t="s">
        <v>9</v>
      </c>
      <c r="C71" s="397"/>
      <c r="D71" s="35" t="s">
        <v>21</v>
      </c>
      <c r="E71" s="191"/>
      <c r="F71" s="376"/>
      <c r="G71" s="377"/>
      <c r="H71" s="377"/>
      <c r="I71" s="378"/>
      <c r="J71" s="12"/>
      <c r="K71" s="12"/>
      <c r="L71" s="12"/>
      <c r="M71" s="12"/>
      <c r="N71" s="12"/>
      <c r="O71" s="12"/>
      <c r="P71" s="12"/>
      <c r="Q71" s="12"/>
      <c r="R71" s="12"/>
      <c r="S71" s="12"/>
      <c r="T71" s="12"/>
      <c r="U71" s="12"/>
      <c r="V71" s="12"/>
      <c r="W71" s="12"/>
      <c r="X71" s="12"/>
      <c r="Y71" s="12"/>
      <c r="Z71" s="12"/>
      <c r="AA71" s="12"/>
      <c r="AB71" s="12"/>
      <c r="AD71" s="1"/>
    </row>
    <row r="72" spans="2:30" ht="15" hidden="1" customHeight="1" x14ac:dyDescent="0.25">
      <c r="B72" s="224"/>
      <c r="C72" s="214"/>
      <c r="D72" s="27"/>
      <c r="E72" s="191"/>
      <c r="F72" s="376"/>
      <c r="G72" s="377"/>
      <c r="H72" s="377"/>
      <c r="I72" s="378"/>
      <c r="J72" s="12"/>
      <c r="K72" s="12"/>
      <c r="L72" s="12"/>
      <c r="M72" s="12"/>
      <c r="N72" s="12"/>
      <c r="O72" s="12"/>
      <c r="P72" s="12"/>
      <c r="Q72" s="12"/>
      <c r="R72" s="12"/>
      <c r="S72" s="12"/>
      <c r="T72" s="12"/>
      <c r="U72" s="12"/>
      <c r="V72" s="12"/>
      <c r="W72" s="12"/>
      <c r="X72" s="12"/>
      <c r="Y72" s="12"/>
      <c r="Z72" s="12"/>
      <c r="AA72" s="12"/>
      <c r="AB72" s="12"/>
      <c r="AD72" s="1"/>
    </row>
    <row r="73" spans="2:30" ht="15" hidden="1" customHeight="1" x14ac:dyDescent="0.25">
      <c r="B73" s="374" t="s">
        <v>34</v>
      </c>
      <c r="C73" s="375"/>
      <c r="D73" s="177" t="str">
        <f>IF('Case 2 - Nitrogen Cntrl Failure'!C27="Yes",IF('Case 2 - Nitrogen Cntrl Failure'!C28="","",'Case 2 - Nitrogen Cntrl Failure'!C28),(IF('Case 2 - Nitrogen Cntrl Failure'!C44="","",'Case 2 - Nitrogen Cntrl Failure'!C44)))</f>
        <v/>
      </c>
      <c r="E73" s="191" t="s">
        <v>123</v>
      </c>
      <c r="F73" s="376"/>
      <c r="G73" s="377"/>
      <c r="H73" s="377"/>
      <c r="I73" s="378"/>
      <c r="J73" s="12"/>
      <c r="K73" s="12"/>
      <c r="L73" s="12"/>
      <c r="M73" s="12"/>
      <c r="N73" s="12"/>
      <c r="O73" s="12"/>
      <c r="P73" s="12"/>
      <c r="Q73" s="12"/>
      <c r="R73" s="12"/>
      <c r="S73" s="12"/>
      <c r="T73" s="12"/>
      <c r="U73" s="12"/>
      <c r="V73" s="12"/>
      <c r="W73" s="12"/>
      <c r="X73" s="12"/>
      <c r="Y73" s="12"/>
      <c r="Z73" s="12"/>
      <c r="AA73" s="12"/>
      <c r="AB73" s="12"/>
      <c r="AD73" s="1"/>
    </row>
    <row r="74" spans="2:30" ht="15" hidden="1" customHeight="1" x14ac:dyDescent="0.25">
      <c r="B74" s="374" t="s">
        <v>41</v>
      </c>
      <c r="C74" s="375"/>
      <c r="D74" s="177" t="str">
        <f>IF('Case 2 - Nitrogen Cntrl Failure'!C27="Yes",IF('Case 2 - Nitrogen Cntrl Failure'!C29="","",'Case 2 - Nitrogen Cntrl Failure'!C29),(IF('Case 2 - Nitrogen Cntrl Failure'!C45="","",'Case 2 - Nitrogen Cntrl Failure'!C45)))</f>
        <v/>
      </c>
      <c r="E74" s="191" t="s">
        <v>123</v>
      </c>
      <c r="F74" s="376"/>
      <c r="G74" s="377"/>
      <c r="H74" s="377"/>
      <c r="I74" s="378"/>
      <c r="J74" s="12"/>
      <c r="K74" s="12"/>
      <c r="L74" s="12"/>
      <c r="M74" s="12"/>
      <c r="N74" s="12"/>
      <c r="O74" s="12"/>
      <c r="P74" s="12"/>
      <c r="Q74" s="12"/>
      <c r="R74" s="12"/>
      <c r="S74" s="12"/>
      <c r="T74" s="12"/>
      <c r="U74" s="12"/>
      <c r="V74" s="12"/>
      <c r="W74" s="12"/>
      <c r="X74" s="12"/>
      <c r="Y74" s="12"/>
      <c r="Z74" s="12"/>
      <c r="AA74" s="12"/>
      <c r="AB74" s="12"/>
      <c r="AD74" s="1"/>
    </row>
    <row r="75" spans="2:30" ht="15" hidden="1" customHeight="1" x14ac:dyDescent="0.25">
      <c r="B75" s="374" t="s">
        <v>182</v>
      </c>
      <c r="C75" s="384"/>
      <c r="D75" s="83" t="str">
        <f>IF('Case 2 - Nitrogen Cntrl Failure'!C27="Yes",'Case 2 - Nitrogen Cntrl Failure'!C31,'Case 2 - Nitrogen Cntrl Failure'!C47)</f>
        <v>Not enough info</v>
      </c>
      <c r="E75" s="191"/>
      <c r="F75" s="225"/>
      <c r="G75" s="226"/>
      <c r="H75" s="226"/>
      <c r="I75" s="227"/>
      <c r="J75" s="12"/>
      <c r="K75" s="12"/>
      <c r="L75" s="12"/>
      <c r="M75" s="12"/>
      <c r="N75" s="12"/>
      <c r="O75" s="12"/>
      <c r="P75" s="12"/>
      <c r="Q75" s="12"/>
      <c r="R75" s="12"/>
      <c r="S75" s="12"/>
      <c r="T75" s="12"/>
      <c r="U75" s="12"/>
      <c r="V75" s="12"/>
      <c r="W75" s="12"/>
      <c r="X75" s="12"/>
      <c r="Y75" s="12"/>
      <c r="Z75" s="12"/>
      <c r="AA75" s="12"/>
      <c r="AB75" s="12"/>
      <c r="AD75" s="1"/>
    </row>
    <row r="76" spans="2:30" ht="15" hidden="1" customHeight="1" x14ac:dyDescent="0.25">
      <c r="B76" s="224"/>
      <c r="C76" s="30"/>
      <c r="D76" s="30"/>
      <c r="E76" s="191"/>
      <c r="F76" s="376"/>
      <c r="G76" s="377"/>
      <c r="H76" s="377"/>
      <c r="I76" s="378"/>
      <c r="J76" s="12"/>
      <c r="K76" s="12"/>
      <c r="L76" s="12"/>
      <c r="M76" s="12"/>
      <c r="N76" s="12"/>
      <c r="O76" s="12"/>
      <c r="P76" s="12"/>
      <c r="Q76" s="12"/>
      <c r="R76" s="12"/>
      <c r="S76" s="12"/>
      <c r="T76" s="12"/>
      <c r="U76" s="12"/>
      <c r="V76" s="12"/>
      <c r="W76" s="12"/>
      <c r="X76" s="12"/>
      <c r="Y76" s="12"/>
      <c r="Z76" s="12"/>
      <c r="AA76" s="12"/>
      <c r="AB76" s="12"/>
      <c r="AD76" s="1"/>
    </row>
    <row r="77" spans="2:30" ht="15" hidden="1" customHeight="1" x14ac:dyDescent="0.25">
      <c r="B77" s="385" t="s">
        <v>36</v>
      </c>
      <c r="C77" s="386"/>
      <c r="D77" s="174" t="str">
        <f>IF('Case 2 - Nitrogen Cntrl Failure'!C14="","",'Case 2 - Nitrogen Cntrl Failure'!C14)</f>
        <v/>
      </c>
      <c r="E77" s="191" t="s">
        <v>43</v>
      </c>
      <c r="F77" s="225"/>
      <c r="G77" s="226"/>
      <c r="H77" s="226"/>
      <c r="I77" s="227"/>
      <c r="J77" s="12"/>
      <c r="K77" s="12"/>
      <c r="L77" s="12"/>
      <c r="M77" s="12"/>
      <c r="N77" s="12"/>
      <c r="O77" s="12"/>
      <c r="P77" s="12"/>
      <c r="Q77" s="12"/>
      <c r="R77" s="12"/>
      <c r="S77" s="12"/>
      <c r="T77" s="12"/>
      <c r="U77" s="12"/>
      <c r="V77" s="12"/>
      <c r="W77" s="12"/>
      <c r="X77" s="12"/>
      <c r="Y77" s="12"/>
      <c r="Z77" s="12"/>
      <c r="AA77" s="12"/>
      <c r="AB77" s="12"/>
      <c r="AD77" s="1"/>
    </row>
    <row r="78" spans="2:30" ht="15" hidden="1" customHeight="1" x14ac:dyDescent="0.25">
      <c r="B78" s="385" t="s">
        <v>37</v>
      </c>
      <c r="C78" s="386"/>
      <c r="D78" s="174" t="str">
        <f>IF('Case 2 - Nitrogen Cntrl Failure'!C61="","",'Case 2 - Nitrogen Cntrl Failure'!C61)</f>
        <v/>
      </c>
      <c r="E78" s="191" t="s">
        <v>43</v>
      </c>
      <c r="F78" s="376"/>
      <c r="G78" s="377"/>
      <c r="H78" s="377"/>
      <c r="I78" s="378"/>
      <c r="J78" s="12"/>
      <c r="K78" s="12"/>
      <c r="L78" s="12"/>
      <c r="M78" s="12"/>
      <c r="N78" s="12"/>
      <c r="O78" s="12"/>
      <c r="P78" s="12"/>
      <c r="Q78" s="12"/>
      <c r="R78" s="12"/>
      <c r="S78" s="12"/>
      <c r="T78" s="12"/>
      <c r="U78" s="12"/>
      <c r="V78" s="12"/>
      <c r="W78" s="12"/>
      <c r="X78" s="12"/>
      <c r="Y78" s="12"/>
      <c r="Z78" s="12"/>
      <c r="AA78" s="12"/>
      <c r="AB78" s="12"/>
      <c r="AD78" s="1"/>
    </row>
    <row r="79" spans="2:30" ht="15" hidden="1" customHeight="1" x14ac:dyDescent="0.25">
      <c r="B79" s="385" t="s">
        <v>39</v>
      </c>
      <c r="C79" s="386"/>
      <c r="D79" s="174" t="str">
        <f>IF('Case 2 - Nitrogen Cntrl Failure'!C62="","",'Case 2 - Nitrogen Cntrl Failure'!C62)</f>
        <v/>
      </c>
      <c r="E79" s="191" t="s">
        <v>43</v>
      </c>
      <c r="F79" s="225"/>
      <c r="G79" s="226"/>
      <c r="H79" s="226"/>
      <c r="I79" s="227"/>
      <c r="J79" s="12"/>
      <c r="K79" s="12"/>
      <c r="L79" s="12"/>
      <c r="M79" s="12"/>
      <c r="N79" s="12"/>
      <c r="O79" s="12"/>
      <c r="P79" s="12"/>
      <c r="Q79" s="12"/>
      <c r="R79" s="12"/>
      <c r="S79" s="12"/>
      <c r="T79" s="12"/>
      <c r="U79" s="12"/>
      <c r="V79" s="12"/>
      <c r="W79" s="12"/>
      <c r="X79" s="12"/>
      <c r="Y79" s="12"/>
      <c r="Z79" s="12"/>
      <c r="AA79" s="12"/>
      <c r="AB79" s="12"/>
      <c r="AD79" s="1"/>
    </row>
    <row r="80" spans="2:30" ht="15" hidden="1" customHeight="1" x14ac:dyDescent="0.25">
      <c r="B80" s="374" t="s">
        <v>38</v>
      </c>
      <c r="C80" s="375"/>
      <c r="D80" s="174" t="str">
        <f>IF('Case 2 - Nitrogen Cntrl Failure'!C63="","",'Case 2 - Nitrogen Cntrl Failure'!C63)</f>
        <v/>
      </c>
      <c r="E80" s="191" t="s">
        <v>43</v>
      </c>
      <c r="F80" s="225"/>
      <c r="G80" s="226"/>
      <c r="H80" s="226"/>
      <c r="I80" s="227"/>
      <c r="J80" s="12"/>
      <c r="K80" s="12"/>
      <c r="L80" s="12"/>
      <c r="M80" s="12"/>
      <c r="N80" s="12"/>
      <c r="O80" s="12"/>
      <c r="P80" s="12"/>
      <c r="Q80" s="12"/>
      <c r="R80" s="12"/>
      <c r="S80" s="12"/>
      <c r="T80" s="12"/>
      <c r="U80" s="12"/>
      <c r="V80" s="12"/>
      <c r="W80" s="12"/>
      <c r="X80" s="12"/>
      <c r="Y80" s="12"/>
      <c r="Z80" s="12"/>
      <c r="AA80" s="12"/>
      <c r="AB80" s="12"/>
      <c r="AD80" s="1"/>
    </row>
    <row r="81" spans="2:30" ht="15" hidden="1" customHeight="1" x14ac:dyDescent="0.25">
      <c r="B81" s="221"/>
      <c r="C81" s="191"/>
      <c r="D81" s="70"/>
      <c r="E81" s="191"/>
      <c r="F81" s="376"/>
      <c r="G81" s="377"/>
      <c r="H81" s="377"/>
      <c r="I81" s="378"/>
      <c r="J81" s="15"/>
      <c r="K81" s="15"/>
      <c r="L81" s="15"/>
      <c r="M81" s="15"/>
      <c r="N81" s="14"/>
      <c r="O81" s="16"/>
      <c r="P81" s="17"/>
      <c r="Q81" s="18"/>
      <c r="R81" s="14"/>
      <c r="S81" s="15"/>
      <c r="T81" s="15"/>
      <c r="U81" s="13"/>
      <c r="V81" s="13"/>
      <c r="W81" s="13"/>
      <c r="X81" s="19"/>
      <c r="Y81" s="19"/>
      <c r="Z81" s="11"/>
      <c r="AA81" s="19"/>
      <c r="AB81" s="11"/>
      <c r="AC81" s="11"/>
      <c r="AD81" s="1"/>
    </row>
    <row r="82" spans="2:30" ht="15" hidden="1" customHeight="1" thickBot="1" x14ac:dyDescent="0.25">
      <c r="B82" s="379" t="s">
        <v>104</v>
      </c>
      <c r="C82" s="380"/>
      <c r="D82" s="88" t="str">
        <f>'Case 2 - Nitrogen Cntrl Failure'!C66</f>
        <v>Not enough info</v>
      </c>
      <c r="E82" s="33"/>
      <c r="F82" s="452"/>
      <c r="G82" s="453"/>
      <c r="H82" s="453"/>
      <c r="I82" s="454"/>
      <c r="J82" s="15"/>
      <c r="K82" s="15"/>
      <c r="L82" s="15"/>
      <c r="M82" s="15"/>
      <c r="N82" s="14"/>
      <c r="O82" s="16"/>
      <c r="P82" s="17"/>
      <c r="Q82" s="18"/>
      <c r="R82" s="14"/>
      <c r="S82" s="15"/>
      <c r="T82" s="15"/>
      <c r="U82" s="13"/>
      <c r="V82" s="13"/>
      <c r="W82" s="13"/>
      <c r="X82" s="19"/>
      <c r="Y82" s="19"/>
      <c r="Z82" s="11"/>
      <c r="AA82" s="19"/>
      <c r="AB82" s="11"/>
      <c r="AC82" s="11"/>
      <c r="AD82" s="1"/>
    </row>
    <row r="83" spans="2:30" ht="20" customHeight="1" thickBot="1" x14ac:dyDescent="0.25">
      <c r="B83" s="11"/>
      <c r="C83" s="1"/>
      <c r="D83" s="14"/>
      <c r="E83" s="11"/>
      <c r="F83" s="14"/>
      <c r="G83" s="210"/>
      <c r="H83" s="211"/>
      <c r="I83" s="11"/>
    </row>
    <row r="84" spans="2:30" ht="20" customHeight="1" thickBot="1" x14ac:dyDescent="0.25">
      <c r="B84" s="388" t="s">
        <v>130</v>
      </c>
      <c r="C84" s="389"/>
      <c r="D84" s="389"/>
      <c r="E84" s="412"/>
      <c r="F84" s="391" t="s">
        <v>10</v>
      </c>
      <c r="G84" s="391"/>
      <c r="H84" s="391"/>
      <c r="I84" s="392"/>
    </row>
    <row r="85" spans="2:30" ht="15" hidden="1" customHeight="1" x14ac:dyDescent="0.2">
      <c r="B85" s="398" t="s">
        <v>1</v>
      </c>
      <c r="C85" s="399"/>
      <c r="D85" s="185" t="s">
        <v>27</v>
      </c>
      <c r="E85" s="186" t="s">
        <v>32</v>
      </c>
      <c r="F85" s="40"/>
      <c r="G85" s="41"/>
      <c r="H85" s="41"/>
      <c r="I85" s="42"/>
    </row>
    <row r="86" spans="2:30" ht="15" customHeight="1" x14ac:dyDescent="0.2">
      <c r="B86" s="395" t="s">
        <v>4</v>
      </c>
      <c r="C86" s="396"/>
      <c r="D86" s="188" t="s">
        <v>7</v>
      </c>
      <c r="E86" s="191"/>
      <c r="F86" s="376"/>
      <c r="G86" s="377"/>
      <c r="H86" s="377"/>
      <c r="I86" s="378"/>
    </row>
    <row r="87" spans="2:30" ht="15" hidden="1" customHeight="1" x14ac:dyDescent="0.2">
      <c r="B87" s="385" t="s">
        <v>0</v>
      </c>
      <c r="C87" s="397"/>
      <c r="D87" s="335" t="str">
        <f>IF(D14="","",D14)</f>
        <v/>
      </c>
      <c r="E87" s="191"/>
      <c r="F87" s="376"/>
      <c r="G87" s="377"/>
      <c r="H87" s="377"/>
      <c r="I87" s="378"/>
    </row>
    <row r="88" spans="2:30" ht="15" hidden="1" customHeight="1" x14ac:dyDescent="0.2">
      <c r="B88" s="224"/>
      <c r="C88" s="191"/>
      <c r="D88" s="70"/>
      <c r="E88" s="191"/>
      <c r="F88" s="376"/>
      <c r="G88" s="377"/>
      <c r="H88" s="377"/>
      <c r="I88" s="378"/>
    </row>
    <row r="89" spans="2:30" ht="15" hidden="1" customHeight="1" x14ac:dyDescent="0.2">
      <c r="B89" s="385" t="s">
        <v>80</v>
      </c>
      <c r="C89" s="397"/>
      <c r="D89" s="71" t="str">
        <f>IF('Case 3 - Split Exchanger Tube'!C11="","",'Case 3 - Split Exchanger Tube'!C11)</f>
        <v/>
      </c>
      <c r="E89" s="191" t="s">
        <v>31</v>
      </c>
      <c r="F89" s="376"/>
      <c r="G89" s="377"/>
      <c r="H89" s="377"/>
      <c r="I89" s="378"/>
    </row>
    <row r="90" spans="2:30" ht="15" hidden="1" customHeight="1" x14ac:dyDescent="0.2">
      <c r="B90" s="374" t="s">
        <v>33</v>
      </c>
      <c r="C90" s="375"/>
      <c r="D90" s="72" t="str">
        <f>IF('Case 3 - Split Exchanger Tube'!C12="","",'Case 3 - Split Exchanger Tube'!C12)</f>
        <v/>
      </c>
      <c r="E90" s="191" t="s">
        <v>43</v>
      </c>
      <c r="F90" s="376"/>
      <c r="G90" s="377"/>
      <c r="H90" s="377"/>
      <c r="I90" s="378"/>
    </row>
    <row r="91" spans="2:30" ht="15" hidden="1" customHeight="1" x14ac:dyDescent="0.2">
      <c r="B91" s="224"/>
      <c r="C91" s="222"/>
      <c r="D91" s="27"/>
      <c r="E91" s="191"/>
      <c r="F91" s="376"/>
      <c r="G91" s="377"/>
      <c r="H91" s="377"/>
      <c r="I91" s="378"/>
      <c r="J91" s="2"/>
      <c r="K91" s="2"/>
      <c r="L91" s="2"/>
      <c r="M91" s="2"/>
      <c r="N91" s="2"/>
      <c r="P91" s="2"/>
      <c r="Q91" s="2"/>
      <c r="R91" s="2"/>
      <c r="S91" s="2"/>
      <c r="T91" s="2"/>
      <c r="U91" s="2"/>
      <c r="V91" s="2"/>
      <c r="W91" s="20"/>
      <c r="X91" s="20"/>
      <c r="Y91" s="20"/>
      <c r="Z91" s="21"/>
      <c r="AA91" s="20"/>
      <c r="AB91" s="2"/>
      <c r="AC91" s="1"/>
      <c r="AD91" s="1"/>
    </row>
    <row r="92" spans="2:30" ht="15" hidden="1" customHeight="1" x14ac:dyDescent="0.2">
      <c r="B92" s="374" t="s">
        <v>81</v>
      </c>
      <c r="C92" s="384"/>
      <c r="D92" s="83" t="str">
        <f>IF('Case 3 - Split Exchanger Tube'!C22="","",'Case 3 - Split Exchanger Tube'!C22)</f>
        <v/>
      </c>
      <c r="E92" s="191"/>
      <c r="F92" s="376"/>
      <c r="G92" s="377"/>
      <c r="H92" s="377"/>
      <c r="I92" s="378"/>
      <c r="J92" s="2"/>
      <c r="K92" s="2"/>
      <c r="L92" s="2"/>
      <c r="M92" s="2"/>
      <c r="N92" s="2"/>
      <c r="P92" s="2"/>
      <c r="Q92" s="2"/>
      <c r="R92" s="2"/>
      <c r="S92" s="2"/>
      <c r="T92" s="2"/>
      <c r="U92" s="2"/>
      <c r="V92" s="2"/>
      <c r="W92" s="20"/>
      <c r="X92" s="20"/>
      <c r="Y92" s="20"/>
      <c r="Z92" s="21"/>
      <c r="AA92" s="20"/>
      <c r="AB92" s="2"/>
      <c r="AC92" s="1"/>
      <c r="AD92" s="1"/>
    </row>
    <row r="93" spans="2:30" ht="15" hidden="1" customHeight="1" x14ac:dyDescent="0.2">
      <c r="B93" s="374" t="s">
        <v>82</v>
      </c>
      <c r="C93" s="384"/>
      <c r="D93" s="83" t="str">
        <f>IF('Case 3 - Split Exchanger Tube'!C23="","",'Case 3 - Split Exchanger Tube'!C23)</f>
        <v/>
      </c>
      <c r="E93" s="191"/>
      <c r="F93" s="376"/>
      <c r="G93" s="377"/>
      <c r="H93" s="377"/>
      <c r="I93" s="378"/>
      <c r="J93" s="2"/>
      <c r="K93" s="2"/>
      <c r="L93" s="2"/>
      <c r="M93" s="2"/>
      <c r="N93" s="2"/>
      <c r="P93" s="2"/>
      <c r="Q93" s="2"/>
      <c r="R93" s="2"/>
      <c r="S93" s="2"/>
      <c r="T93" s="2"/>
      <c r="U93" s="2"/>
      <c r="V93" s="2"/>
      <c r="W93" s="20"/>
      <c r="X93" s="20"/>
      <c r="Y93" s="20"/>
      <c r="Z93" s="21"/>
      <c r="AA93" s="20"/>
      <c r="AB93" s="2"/>
      <c r="AC93" s="1"/>
      <c r="AD93" s="1"/>
    </row>
    <row r="94" spans="2:30" ht="15" hidden="1" customHeight="1" x14ac:dyDescent="0.2">
      <c r="B94" s="224"/>
      <c r="C94" s="222"/>
      <c r="D94" s="228"/>
      <c r="E94" s="191"/>
      <c r="F94" s="376"/>
      <c r="G94" s="377"/>
      <c r="H94" s="377"/>
      <c r="I94" s="378"/>
      <c r="J94" s="2"/>
      <c r="K94" s="2"/>
      <c r="L94" s="2"/>
      <c r="M94" s="2"/>
      <c r="N94" s="2"/>
      <c r="P94" s="2"/>
      <c r="Q94" s="2"/>
      <c r="R94" s="2"/>
      <c r="S94" s="2"/>
      <c r="T94" s="2"/>
      <c r="U94" s="2"/>
      <c r="V94" s="2"/>
      <c r="W94" s="20"/>
      <c r="X94" s="20"/>
      <c r="Y94" s="20"/>
      <c r="Z94" s="21"/>
      <c r="AA94" s="20"/>
      <c r="AB94" s="2"/>
      <c r="AC94" s="1"/>
      <c r="AD94" s="1"/>
    </row>
    <row r="95" spans="2:30" ht="15" hidden="1" customHeight="1" x14ac:dyDescent="0.2">
      <c r="B95" s="374" t="s">
        <v>34</v>
      </c>
      <c r="C95" s="375"/>
      <c r="D95" s="34" t="str">
        <f>IF('Case 3 - Split Exchanger Tube'!C32="","",'Case 3 - Split Exchanger Tube'!C32)</f>
        <v/>
      </c>
      <c r="E95" s="191" t="s">
        <v>123</v>
      </c>
      <c r="F95" s="376"/>
      <c r="G95" s="377"/>
      <c r="H95" s="377"/>
      <c r="I95" s="378"/>
      <c r="J95" s="2"/>
      <c r="K95" s="2"/>
      <c r="L95" s="2"/>
      <c r="M95" s="2"/>
      <c r="N95" s="2"/>
      <c r="P95" s="2"/>
      <c r="Q95" s="2"/>
      <c r="R95" s="2"/>
      <c r="S95" s="2"/>
      <c r="T95" s="2"/>
      <c r="U95" s="2"/>
      <c r="V95" s="2"/>
      <c r="W95" s="20"/>
      <c r="X95" s="20"/>
      <c r="Y95" s="20"/>
      <c r="Z95" s="21"/>
      <c r="AA95" s="20"/>
      <c r="AB95" s="2"/>
      <c r="AC95" s="1"/>
      <c r="AD95" s="1"/>
    </row>
    <row r="96" spans="2:30" ht="15" hidden="1" customHeight="1" x14ac:dyDescent="0.2">
      <c r="B96" s="374" t="s">
        <v>41</v>
      </c>
      <c r="C96" s="375"/>
      <c r="D96" s="34" t="str">
        <f>'Case 3 - Split Exchanger Tube'!C33</f>
        <v/>
      </c>
      <c r="E96" s="191" t="s">
        <v>123</v>
      </c>
      <c r="F96" s="376"/>
      <c r="G96" s="377"/>
      <c r="H96" s="377"/>
      <c r="I96" s="378"/>
      <c r="J96" s="2"/>
      <c r="K96" s="2"/>
      <c r="L96" s="2"/>
      <c r="M96" s="2"/>
      <c r="N96" s="2"/>
      <c r="O96" s="2"/>
      <c r="P96" s="2"/>
      <c r="Q96" s="2"/>
      <c r="R96" s="2"/>
      <c r="S96" s="2"/>
      <c r="T96" s="2"/>
      <c r="U96" s="2"/>
      <c r="V96" s="2"/>
      <c r="W96" s="20"/>
      <c r="X96" s="20"/>
      <c r="Y96" s="20"/>
      <c r="Z96" s="21"/>
      <c r="AA96" s="20"/>
      <c r="AB96" s="2"/>
      <c r="AC96" s="1"/>
      <c r="AD96" s="1"/>
    </row>
    <row r="97" spans="2:30" ht="15" hidden="1" customHeight="1" x14ac:dyDescent="0.2">
      <c r="B97" s="374" t="s">
        <v>182</v>
      </c>
      <c r="C97" s="384"/>
      <c r="D97" s="83" t="str">
        <f>'Case 3 - Split Exchanger Tube'!C35</f>
        <v>Not enough info</v>
      </c>
      <c r="E97" s="191"/>
      <c r="F97" s="225"/>
      <c r="G97" s="226"/>
      <c r="H97" s="226"/>
      <c r="I97" s="227"/>
      <c r="J97" s="2"/>
      <c r="K97" s="2"/>
      <c r="L97" s="2"/>
      <c r="M97" s="2"/>
      <c r="N97" s="2"/>
      <c r="O97" s="2"/>
      <c r="P97" s="2"/>
      <c r="Q97" s="2"/>
      <c r="R97" s="2"/>
      <c r="S97" s="2"/>
      <c r="T97" s="2"/>
      <c r="U97" s="2"/>
      <c r="V97" s="2"/>
      <c r="W97" s="20"/>
      <c r="X97" s="20"/>
      <c r="Y97" s="20"/>
      <c r="Z97" s="21"/>
      <c r="AA97" s="20"/>
      <c r="AB97" s="2"/>
      <c r="AC97" s="1"/>
      <c r="AD97" s="1"/>
    </row>
    <row r="98" spans="2:30" ht="15" hidden="1" customHeight="1" x14ac:dyDescent="0.2">
      <c r="B98" s="224"/>
      <c r="C98" s="30"/>
      <c r="D98" s="30"/>
      <c r="E98" s="191"/>
      <c r="F98" s="376"/>
      <c r="G98" s="377"/>
      <c r="H98" s="377"/>
      <c r="I98" s="378"/>
      <c r="J98" s="2"/>
      <c r="K98" s="2"/>
      <c r="L98" s="2"/>
      <c r="M98" s="2"/>
      <c r="N98" s="2"/>
      <c r="O98" s="2"/>
      <c r="P98" s="2"/>
      <c r="Q98" s="2"/>
      <c r="R98" s="2"/>
      <c r="S98" s="2"/>
      <c r="T98" s="2"/>
      <c r="U98" s="2"/>
      <c r="V98" s="2"/>
      <c r="W98" s="20"/>
      <c r="X98" s="20"/>
      <c r="Y98" s="20"/>
      <c r="Z98" s="21"/>
      <c r="AA98" s="20"/>
      <c r="AB98" s="2"/>
      <c r="AC98" s="1"/>
      <c r="AD98" s="1"/>
    </row>
    <row r="99" spans="2:30" ht="15" hidden="1" customHeight="1" x14ac:dyDescent="0.2">
      <c r="B99" s="385" t="s">
        <v>36</v>
      </c>
      <c r="C99" s="386"/>
      <c r="D99" s="89" t="str">
        <f>'Case 3 - Split Exchanger Tube'!C14</f>
        <v/>
      </c>
      <c r="E99" s="191" t="s">
        <v>43</v>
      </c>
      <c r="F99" s="225"/>
      <c r="G99" s="226"/>
      <c r="H99" s="226"/>
      <c r="I99" s="227"/>
      <c r="J99" s="2"/>
      <c r="K99" s="2"/>
      <c r="L99" s="2"/>
      <c r="M99" s="2"/>
      <c r="N99" s="2"/>
      <c r="O99" s="2"/>
      <c r="P99" s="2"/>
      <c r="Q99" s="2"/>
      <c r="R99" s="2"/>
      <c r="S99" s="2"/>
      <c r="T99" s="2"/>
      <c r="U99" s="2"/>
      <c r="V99" s="2"/>
      <c r="W99" s="20"/>
      <c r="X99" s="20"/>
      <c r="Y99" s="20"/>
      <c r="Z99" s="21"/>
      <c r="AA99" s="20"/>
      <c r="AB99" s="2"/>
      <c r="AC99" s="1"/>
      <c r="AD99" s="1"/>
    </row>
    <row r="100" spans="2:30" ht="15" hidden="1" customHeight="1" x14ac:dyDescent="0.2">
      <c r="B100" s="385" t="s">
        <v>37</v>
      </c>
      <c r="C100" s="386"/>
      <c r="D100" s="90" t="str">
        <f>IF('Case 3 - Split Exchanger Tube'!C47="","",'Case 3 - Split Exchanger Tube'!C47)</f>
        <v/>
      </c>
      <c r="E100" s="191" t="s">
        <v>43</v>
      </c>
      <c r="F100" s="376"/>
      <c r="G100" s="377"/>
      <c r="H100" s="377"/>
      <c r="I100" s="378"/>
      <c r="J100" s="2"/>
      <c r="K100" s="2"/>
      <c r="L100" s="2"/>
      <c r="M100" s="2"/>
      <c r="N100" s="2"/>
      <c r="O100" s="2"/>
      <c r="P100" s="2"/>
      <c r="Q100" s="2"/>
      <c r="R100" s="2"/>
      <c r="S100" s="2"/>
      <c r="T100" s="2"/>
      <c r="U100" s="2"/>
      <c r="V100" s="2"/>
      <c r="W100" s="2"/>
      <c r="X100" s="2"/>
      <c r="Y100" s="2"/>
      <c r="Z100" s="2"/>
      <c r="AA100" s="20"/>
      <c r="AB100" s="2"/>
      <c r="AC100" s="1"/>
      <c r="AD100" s="1"/>
    </row>
    <row r="101" spans="2:30" ht="15" hidden="1" customHeight="1" x14ac:dyDescent="0.2">
      <c r="B101" s="385" t="s">
        <v>39</v>
      </c>
      <c r="C101" s="387"/>
      <c r="D101" s="90" t="str">
        <f>IF('Case 3 - Split Exchanger Tube'!C48="","",'Case 3 - Split Exchanger Tube'!C48)</f>
        <v/>
      </c>
      <c r="E101" s="191" t="s">
        <v>43</v>
      </c>
      <c r="F101" s="376"/>
      <c r="G101" s="377"/>
      <c r="H101" s="377"/>
      <c r="I101" s="378"/>
      <c r="J101" s="2"/>
      <c r="K101" s="2"/>
      <c r="L101" s="2"/>
      <c r="M101" s="2"/>
      <c r="N101" s="2"/>
      <c r="O101" s="2"/>
      <c r="P101" s="2"/>
      <c r="Q101" s="2"/>
      <c r="R101" s="2"/>
      <c r="S101" s="2"/>
      <c r="T101" s="2"/>
      <c r="U101" s="2"/>
      <c r="V101" s="2"/>
      <c r="W101" s="2"/>
      <c r="X101" s="2"/>
      <c r="Y101" s="2"/>
      <c r="Z101" s="2"/>
      <c r="AA101" s="20"/>
      <c r="AB101" s="2"/>
      <c r="AC101" s="1"/>
      <c r="AD101" s="1"/>
    </row>
    <row r="102" spans="2:30" ht="15" hidden="1" customHeight="1" x14ac:dyDescent="0.2">
      <c r="B102" s="374" t="s">
        <v>38</v>
      </c>
      <c r="C102" s="375"/>
      <c r="D102" s="90" t="str">
        <f>'Case 3 - Split Exchanger Tube'!C49</f>
        <v/>
      </c>
      <c r="E102" s="191" t="s">
        <v>43</v>
      </c>
      <c r="F102" s="225"/>
      <c r="G102" s="226"/>
      <c r="H102" s="226"/>
      <c r="I102" s="227"/>
      <c r="J102" s="2"/>
      <c r="K102" s="2"/>
      <c r="L102" s="2"/>
      <c r="M102" s="2"/>
      <c r="N102" s="2"/>
      <c r="P102" s="2"/>
      <c r="Q102" s="2"/>
      <c r="R102" s="2"/>
      <c r="S102" s="2"/>
      <c r="T102" s="2"/>
      <c r="U102" s="2"/>
      <c r="V102" s="2"/>
      <c r="W102" s="20"/>
      <c r="X102" s="20"/>
      <c r="Y102" s="20"/>
      <c r="Z102" s="21"/>
      <c r="AA102" s="20"/>
      <c r="AB102" s="2"/>
      <c r="AC102" s="1"/>
      <c r="AD102" s="1"/>
    </row>
    <row r="103" spans="2:30" ht="15" hidden="1" customHeight="1" x14ac:dyDescent="0.25">
      <c r="B103" s="221"/>
      <c r="C103" s="191"/>
      <c r="D103" s="70"/>
      <c r="E103" s="191"/>
      <c r="F103" s="376"/>
      <c r="G103" s="377"/>
      <c r="H103" s="377"/>
      <c r="I103" s="378"/>
      <c r="J103" s="2"/>
      <c r="K103" s="2"/>
      <c r="L103" s="2"/>
      <c r="M103" s="2"/>
      <c r="N103" s="2"/>
      <c r="O103" s="2"/>
      <c r="P103" s="2"/>
      <c r="Q103" s="2"/>
      <c r="R103" s="2"/>
      <c r="S103" s="2"/>
      <c r="T103" s="2"/>
      <c r="U103" s="2"/>
      <c r="V103" s="2"/>
      <c r="W103" s="20"/>
      <c r="X103" s="20"/>
      <c r="Y103" s="20"/>
      <c r="Z103" s="21"/>
      <c r="AA103" s="20"/>
      <c r="AB103" s="2"/>
      <c r="AC103" s="1"/>
      <c r="AD103" s="1"/>
    </row>
    <row r="104" spans="2:30" ht="15" hidden="1" customHeight="1" thickBot="1" x14ac:dyDescent="0.25">
      <c r="B104" s="379" t="s">
        <v>104</v>
      </c>
      <c r="C104" s="380"/>
      <c r="D104" s="85" t="str">
        <f>IF(D86="No","N/A",IF(OR(D101="",D90=""),"Not enough info",IF(D101&lt;D90,"Yes","No")))</f>
        <v>N/A</v>
      </c>
      <c r="E104" s="33"/>
      <c r="F104" s="381"/>
      <c r="G104" s="382"/>
      <c r="H104" s="382"/>
      <c r="I104" s="383"/>
      <c r="J104" s="2"/>
      <c r="K104" s="2"/>
      <c r="L104" s="2"/>
      <c r="M104" s="2"/>
      <c r="N104" s="2"/>
      <c r="O104" s="2"/>
      <c r="P104" s="2"/>
      <c r="Q104" s="2"/>
      <c r="R104" s="2"/>
      <c r="S104" s="2"/>
      <c r="T104" s="2"/>
      <c r="U104" s="2"/>
      <c r="V104" s="2"/>
      <c r="W104" s="20"/>
      <c r="X104" s="20"/>
      <c r="Y104" s="20"/>
      <c r="Z104" s="21"/>
      <c r="AA104" s="20"/>
      <c r="AB104" s="2"/>
      <c r="AC104" s="1"/>
      <c r="AD104" s="1"/>
    </row>
    <row r="105" spans="2:30" ht="20" customHeight="1" thickBot="1" x14ac:dyDescent="0.25">
      <c r="B105" s="229"/>
      <c r="G105" s="2"/>
      <c r="H105" s="2"/>
      <c r="I105" s="2"/>
      <c r="J105" s="2"/>
      <c r="K105" s="2"/>
      <c r="L105" s="2"/>
      <c r="M105" s="2"/>
      <c r="N105" s="2"/>
      <c r="O105" s="2"/>
      <c r="P105" s="2"/>
      <c r="Q105" s="2"/>
      <c r="R105" s="2"/>
      <c r="S105" s="2"/>
      <c r="T105" s="2"/>
      <c r="U105" s="2"/>
      <c r="V105" s="2"/>
      <c r="W105" s="20"/>
      <c r="X105" s="20"/>
      <c r="Y105" s="20"/>
      <c r="Z105" s="21"/>
      <c r="AA105" s="20"/>
      <c r="AB105" s="2"/>
      <c r="AC105" s="1"/>
      <c r="AD105" s="1"/>
    </row>
    <row r="106" spans="2:30" ht="20" customHeight="1" thickBot="1" x14ac:dyDescent="0.25">
      <c r="B106" s="388" t="s">
        <v>201</v>
      </c>
      <c r="C106" s="389"/>
      <c r="D106" s="389"/>
      <c r="E106" s="389"/>
      <c r="F106" s="390" t="s">
        <v>10</v>
      </c>
      <c r="G106" s="391"/>
      <c r="H106" s="391"/>
      <c r="I106" s="392"/>
      <c r="J106" s="2"/>
      <c r="K106" s="2"/>
      <c r="L106" s="2"/>
      <c r="M106" s="2"/>
      <c r="N106" s="2"/>
      <c r="O106" s="2"/>
      <c r="P106" s="2"/>
      <c r="Q106" s="2"/>
      <c r="R106" s="2"/>
      <c r="S106" s="2"/>
      <c r="T106" s="2"/>
      <c r="U106" s="2"/>
      <c r="V106" s="2"/>
      <c r="W106" s="2"/>
      <c r="X106" s="2"/>
      <c r="Y106" s="2"/>
      <c r="Z106" s="2"/>
      <c r="AA106" s="20"/>
      <c r="AB106" s="2"/>
      <c r="AC106" s="1"/>
      <c r="AD106" s="1"/>
    </row>
    <row r="107" spans="2:30" ht="15" hidden="1" customHeight="1" x14ac:dyDescent="0.2">
      <c r="B107" s="393" t="s">
        <v>1</v>
      </c>
      <c r="C107" s="394"/>
      <c r="D107" s="63" t="s">
        <v>27</v>
      </c>
      <c r="E107" s="64" t="s">
        <v>32</v>
      </c>
      <c r="F107" s="40"/>
      <c r="G107" s="41"/>
      <c r="H107" s="41"/>
      <c r="I107" s="42"/>
      <c r="J107" s="2"/>
      <c r="K107" s="2"/>
      <c r="L107" s="2"/>
      <c r="M107" s="2"/>
      <c r="N107" s="2"/>
      <c r="O107" s="2"/>
      <c r="P107" s="2"/>
      <c r="Q107" s="2"/>
      <c r="R107" s="2"/>
      <c r="S107" s="2"/>
      <c r="T107" s="2"/>
      <c r="U107" s="2"/>
      <c r="V107" s="2"/>
      <c r="W107" s="2"/>
      <c r="X107" s="2"/>
      <c r="Y107" s="2"/>
      <c r="Z107" s="2"/>
      <c r="AA107" s="20"/>
      <c r="AB107" s="2"/>
      <c r="AC107" s="1"/>
      <c r="AD107" s="1"/>
    </row>
    <row r="108" spans="2:30" ht="15" customHeight="1" x14ac:dyDescent="0.2">
      <c r="B108" s="395" t="s">
        <v>4</v>
      </c>
      <c r="C108" s="396"/>
      <c r="D108" s="189" t="s">
        <v>7</v>
      </c>
      <c r="E108" s="191"/>
      <c r="F108" s="376"/>
      <c r="G108" s="377"/>
      <c r="H108" s="377"/>
      <c r="I108" s="378"/>
      <c r="J108" s="2"/>
      <c r="K108" s="2"/>
      <c r="L108" s="2"/>
      <c r="M108" s="2"/>
      <c r="N108" s="2"/>
      <c r="O108" s="2"/>
      <c r="P108" s="2"/>
      <c r="Q108" s="2"/>
      <c r="R108" s="2"/>
      <c r="S108" s="2"/>
      <c r="T108" s="2"/>
      <c r="U108" s="2"/>
      <c r="V108" s="2"/>
      <c r="W108" s="2"/>
      <c r="X108" s="2"/>
      <c r="Y108" s="2"/>
      <c r="Z108" s="2"/>
      <c r="AA108" s="20"/>
      <c r="AB108" s="2"/>
      <c r="AC108" s="1"/>
      <c r="AD108" s="1"/>
    </row>
    <row r="109" spans="2:30" ht="15" hidden="1" customHeight="1" x14ac:dyDescent="0.2">
      <c r="B109" s="385" t="s">
        <v>0</v>
      </c>
      <c r="C109" s="397"/>
      <c r="D109" s="335" t="str">
        <f>IF(D14="","",D14)</f>
        <v/>
      </c>
      <c r="E109" s="191"/>
      <c r="F109" s="376"/>
      <c r="G109" s="377"/>
      <c r="H109" s="377"/>
      <c r="I109" s="378"/>
      <c r="J109" s="2"/>
      <c r="K109" s="2"/>
      <c r="L109" s="2"/>
      <c r="M109" s="2"/>
      <c r="N109" s="2"/>
      <c r="P109" s="2"/>
      <c r="Q109" s="2"/>
      <c r="R109" s="2"/>
      <c r="S109" s="2"/>
      <c r="T109" s="2"/>
      <c r="U109" s="2"/>
      <c r="V109" s="2"/>
      <c r="W109" s="20"/>
      <c r="X109" s="20"/>
      <c r="Y109" s="20"/>
      <c r="Z109" s="21"/>
      <c r="AA109" s="20"/>
      <c r="AB109" s="2"/>
      <c r="AC109" s="1"/>
      <c r="AD109" s="1"/>
    </row>
    <row r="110" spans="2:30" ht="15" hidden="1" customHeight="1" x14ac:dyDescent="0.2">
      <c r="B110" s="224"/>
      <c r="C110" s="191"/>
      <c r="D110" s="70"/>
      <c r="E110" s="191"/>
      <c r="F110" s="376"/>
      <c r="G110" s="377"/>
      <c r="H110" s="377"/>
      <c r="I110" s="378"/>
    </row>
    <row r="111" spans="2:30" ht="15" hidden="1" customHeight="1" x14ac:dyDescent="0.2">
      <c r="B111" s="385" t="s">
        <v>80</v>
      </c>
      <c r="C111" s="397"/>
      <c r="D111" s="71" t="str">
        <f>IF('Case 4 - Liquid Overfill'!C11="","",'Case 4 - Liquid Overfill'!C11)</f>
        <v/>
      </c>
      <c r="E111" s="191" t="s">
        <v>31</v>
      </c>
      <c r="F111" s="376"/>
      <c r="G111" s="377"/>
      <c r="H111" s="377"/>
      <c r="I111" s="378"/>
    </row>
    <row r="112" spans="2:30" ht="15" hidden="1" customHeight="1" x14ac:dyDescent="0.2">
      <c r="B112" s="374" t="s">
        <v>33</v>
      </c>
      <c r="C112" s="375"/>
      <c r="D112" s="72" t="str">
        <f>IF('Case 4 - Liquid Overfill'!C12="","",'Case 4 - Liquid Overfill'!C12)</f>
        <v/>
      </c>
      <c r="E112" s="191" t="s">
        <v>43</v>
      </c>
      <c r="F112" s="376"/>
      <c r="G112" s="377"/>
      <c r="H112" s="377"/>
      <c r="I112" s="378"/>
    </row>
    <row r="113" spans="2:9" ht="15" hidden="1" customHeight="1" x14ac:dyDescent="0.2">
      <c r="B113" s="224"/>
      <c r="C113" s="222"/>
      <c r="D113" s="228"/>
      <c r="E113" s="191"/>
      <c r="F113" s="376"/>
      <c r="G113" s="377"/>
      <c r="H113" s="377"/>
      <c r="I113" s="378"/>
    </row>
    <row r="114" spans="2:9" ht="15" hidden="1" customHeight="1" x14ac:dyDescent="0.2">
      <c r="B114" s="374" t="s">
        <v>34</v>
      </c>
      <c r="C114" s="375"/>
      <c r="D114" s="34" t="str">
        <f>IF('Case 4 - Liquid Overfill'!C29="","",'Case 4 - Liquid Overfill'!C29)</f>
        <v/>
      </c>
      <c r="E114" s="191" t="s">
        <v>123</v>
      </c>
      <c r="F114" s="376"/>
      <c r="G114" s="377"/>
      <c r="H114" s="377"/>
      <c r="I114" s="378"/>
    </row>
    <row r="115" spans="2:9" ht="15" hidden="1" customHeight="1" x14ac:dyDescent="0.2">
      <c r="B115" s="374" t="s">
        <v>41</v>
      </c>
      <c r="C115" s="375"/>
      <c r="D115" s="34" t="str">
        <f>IF('Case 4 - Liquid Overfill'!C30="","",'Case 4 - Liquid Overfill'!C30)</f>
        <v/>
      </c>
      <c r="E115" s="191" t="s">
        <v>123</v>
      </c>
      <c r="F115" s="376"/>
      <c r="G115" s="377"/>
      <c r="H115" s="377"/>
      <c r="I115" s="378"/>
    </row>
    <row r="116" spans="2:9" ht="15" hidden="1" customHeight="1" x14ac:dyDescent="0.2">
      <c r="B116" s="374" t="s">
        <v>182</v>
      </c>
      <c r="C116" s="384"/>
      <c r="D116" s="34" t="str">
        <f>IF('Case 4 - Liquid Overfill'!C32="","",'Case 4 - Liquid Overfill'!C32)</f>
        <v>Not enough info</v>
      </c>
      <c r="E116" s="191"/>
      <c r="F116" s="225"/>
      <c r="G116" s="226"/>
      <c r="H116" s="226"/>
      <c r="I116" s="227"/>
    </row>
    <row r="117" spans="2:9" ht="15" hidden="1" customHeight="1" x14ac:dyDescent="0.2">
      <c r="B117" s="224"/>
      <c r="C117" s="30"/>
      <c r="D117" s="30"/>
      <c r="E117" s="191"/>
      <c r="F117" s="376"/>
      <c r="G117" s="377"/>
      <c r="H117" s="377"/>
      <c r="I117" s="378"/>
    </row>
    <row r="118" spans="2:9" ht="15" hidden="1" customHeight="1" x14ac:dyDescent="0.2">
      <c r="B118" s="385" t="s">
        <v>36</v>
      </c>
      <c r="C118" s="386"/>
      <c r="D118" s="72" t="str">
        <f>IF('Case 4 - Liquid Overfill'!C14="","",'Case 4 - Liquid Overfill'!C14)</f>
        <v/>
      </c>
      <c r="E118" s="191" t="s">
        <v>43</v>
      </c>
      <c r="F118" s="225"/>
      <c r="G118" s="226"/>
      <c r="H118" s="226"/>
      <c r="I118" s="227"/>
    </row>
    <row r="119" spans="2:9" ht="15" hidden="1" customHeight="1" x14ac:dyDescent="0.2">
      <c r="B119" s="385" t="s">
        <v>37</v>
      </c>
      <c r="C119" s="386"/>
      <c r="D119" s="72" t="str">
        <f>IF('Case 4 - Liquid Overfill'!C44="","",'Case 4 - Liquid Overfill'!C44)</f>
        <v/>
      </c>
      <c r="E119" s="191" t="s">
        <v>43</v>
      </c>
      <c r="F119" s="376"/>
      <c r="G119" s="377"/>
      <c r="H119" s="377"/>
      <c r="I119" s="378"/>
    </row>
    <row r="120" spans="2:9" ht="15" hidden="1" customHeight="1" x14ac:dyDescent="0.2">
      <c r="B120" s="385" t="s">
        <v>39</v>
      </c>
      <c r="C120" s="387"/>
      <c r="D120" s="72" t="str">
        <f>IF('Case 4 - Liquid Overfill'!C45="","",'Case 4 - Liquid Overfill'!C45)</f>
        <v/>
      </c>
      <c r="E120" s="191" t="s">
        <v>43</v>
      </c>
      <c r="F120" s="376"/>
      <c r="G120" s="377"/>
      <c r="H120" s="377"/>
      <c r="I120" s="378"/>
    </row>
    <row r="121" spans="2:9" ht="15" hidden="1" customHeight="1" x14ac:dyDescent="0.2">
      <c r="B121" s="374" t="s">
        <v>38</v>
      </c>
      <c r="C121" s="375"/>
      <c r="D121" s="72" t="str">
        <f>IF('Case 4 - Liquid Overfill'!C46="","",'Case 4 - Liquid Overfill'!C46)</f>
        <v/>
      </c>
      <c r="E121" s="191" t="s">
        <v>43</v>
      </c>
      <c r="F121" s="225"/>
      <c r="G121" s="226"/>
      <c r="H121" s="226"/>
      <c r="I121" s="227"/>
    </row>
    <row r="122" spans="2:9" ht="15" hidden="1" customHeight="1" x14ac:dyDescent="0.25">
      <c r="B122" s="221"/>
      <c r="C122" s="191"/>
      <c r="D122" s="70"/>
      <c r="E122" s="191"/>
      <c r="F122" s="376"/>
      <c r="G122" s="377"/>
      <c r="H122" s="377"/>
      <c r="I122" s="378"/>
    </row>
    <row r="123" spans="2:9" ht="15" hidden="1" customHeight="1" thickBot="1" x14ac:dyDescent="0.25">
      <c r="B123" s="379" t="s">
        <v>104</v>
      </c>
      <c r="C123" s="380"/>
      <c r="D123" s="85" t="str">
        <f>IF(D108="No","N/A",IF(OR(D120="",D112=""),"Not enough info",IF(D120&lt;D112,"Yes","No")))</f>
        <v>N/A</v>
      </c>
      <c r="E123" s="33"/>
      <c r="F123" s="381"/>
      <c r="G123" s="382"/>
      <c r="H123" s="382"/>
      <c r="I123" s="383"/>
    </row>
    <row r="124" spans="2:9" ht="20" customHeight="1" x14ac:dyDescent="0.2"/>
    <row r="136" spans="2:2" x14ac:dyDescent="0.2">
      <c r="B136" s="30"/>
    </row>
  </sheetData>
  <sheetProtection selectLockedCells="1"/>
  <mergeCells count="188">
    <mergeCell ref="L3:U6"/>
    <mergeCell ref="B66:C66"/>
    <mergeCell ref="B68:C68"/>
    <mergeCell ref="B52:C52"/>
    <mergeCell ref="B50:C50"/>
    <mergeCell ref="B46:C46"/>
    <mergeCell ref="B47:C47"/>
    <mergeCell ref="F26:I26"/>
    <mergeCell ref="F27:I27"/>
    <mergeCell ref="F28:I28"/>
    <mergeCell ref="F29:I29"/>
    <mergeCell ref="F30:I30"/>
    <mergeCell ref="F52:I52"/>
    <mergeCell ref="F51:I51"/>
    <mergeCell ref="F64:I64"/>
    <mergeCell ref="F43:I43"/>
    <mergeCell ref="F44:I44"/>
    <mergeCell ref="F38:I38"/>
    <mergeCell ref="F35:I35"/>
    <mergeCell ref="F68:I68"/>
    <mergeCell ref="F59:I59"/>
    <mergeCell ref="L23:U25"/>
    <mergeCell ref="F14:I14"/>
    <mergeCell ref="F16:I16"/>
    <mergeCell ref="F15:I15"/>
    <mergeCell ref="F23:I23"/>
    <mergeCell ref="F10:I10"/>
    <mergeCell ref="F11:I11"/>
    <mergeCell ref="F12:I12"/>
    <mergeCell ref="F13:I13"/>
    <mergeCell ref="F21:I21"/>
    <mergeCell ref="F25:I25"/>
    <mergeCell ref="L8:U21"/>
    <mergeCell ref="L27:U30"/>
    <mergeCell ref="L32:U35"/>
    <mergeCell ref="B75:C75"/>
    <mergeCell ref="F98:I98"/>
    <mergeCell ref="F88:I88"/>
    <mergeCell ref="F89:I89"/>
    <mergeCell ref="F90:I90"/>
    <mergeCell ref="F91:I91"/>
    <mergeCell ref="F92:I92"/>
    <mergeCell ref="F78:I78"/>
    <mergeCell ref="F81:I81"/>
    <mergeCell ref="F82:I82"/>
    <mergeCell ref="F93:I93"/>
    <mergeCell ref="F94:I94"/>
    <mergeCell ref="F87:I87"/>
    <mergeCell ref="F86:I86"/>
    <mergeCell ref="B97:C97"/>
    <mergeCell ref="F71:I71"/>
    <mergeCell ref="F72:I72"/>
    <mergeCell ref="F73:I73"/>
    <mergeCell ref="F74:I74"/>
    <mergeCell ref="F76:I76"/>
    <mergeCell ref="F66:I66"/>
    <mergeCell ref="F67:I67"/>
    <mergeCell ref="F61:I61"/>
    <mergeCell ref="F45:I45"/>
    <mergeCell ref="F65:I65"/>
    <mergeCell ref="F53:I53"/>
    <mergeCell ref="F56:I56"/>
    <mergeCell ref="F58:I58"/>
    <mergeCell ref="F46:I46"/>
    <mergeCell ref="F47:I47"/>
    <mergeCell ref="F48:I48"/>
    <mergeCell ref="F50:I50"/>
    <mergeCell ref="F63:I63"/>
    <mergeCell ref="F60:I60"/>
    <mergeCell ref="D2:I2"/>
    <mergeCell ref="H4:I4"/>
    <mergeCell ref="H5:I5"/>
    <mergeCell ref="H6:I6"/>
    <mergeCell ref="E3:I3"/>
    <mergeCell ref="B19:E19"/>
    <mergeCell ref="F17:I17"/>
    <mergeCell ref="F8:I8"/>
    <mergeCell ref="F19:I19"/>
    <mergeCell ref="B8:E8"/>
    <mergeCell ref="B9:C9"/>
    <mergeCell ref="B4:C4"/>
    <mergeCell ref="B6:C6"/>
    <mergeCell ref="B10:C10"/>
    <mergeCell ref="B11:C11"/>
    <mergeCell ref="B12:C12"/>
    <mergeCell ref="B13:C13"/>
    <mergeCell ref="B14:C14"/>
    <mergeCell ref="B15:C15"/>
    <mergeCell ref="B16:C16"/>
    <mergeCell ref="B17:C17"/>
    <mergeCell ref="F9:I9"/>
    <mergeCell ref="F41:I41"/>
    <mergeCell ref="B41:E41"/>
    <mergeCell ref="F24:I24"/>
    <mergeCell ref="F32:I32"/>
    <mergeCell ref="F33:I33"/>
    <mergeCell ref="F34:I34"/>
    <mergeCell ref="F42:I42"/>
    <mergeCell ref="F36:I36"/>
    <mergeCell ref="B54:C54"/>
    <mergeCell ref="F39:I39"/>
    <mergeCell ref="F37:I37"/>
    <mergeCell ref="B20:C20"/>
    <mergeCell ref="B22:C22"/>
    <mergeCell ref="F22:I22"/>
    <mergeCell ref="B96:C96"/>
    <mergeCell ref="B101:C101"/>
    <mergeCell ref="B86:C86"/>
    <mergeCell ref="B87:C87"/>
    <mergeCell ref="B89:C89"/>
    <mergeCell ref="B90:C90"/>
    <mergeCell ref="B92:C92"/>
    <mergeCell ref="B77:C77"/>
    <mergeCell ref="B79:C79"/>
    <mergeCell ref="B61:C61"/>
    <mergeCell ref="B84:E84"/>
    <mergeCell ref="B71:C71"/>
    <mergeCell ref="B73:C73"/>
    <mergeCell ref="B74:C74"/>
    <mergeCell ref="B78:C78"/>
    <mergeCell ref="B65:C65"/>
    <mergeCell ref="B63:E63"/>
    <mergeCell ref="B64:C64"/>
    <mergeCell ref="B42:C42"/>
    <mergeCell ref="B48:C48"/>
    <mergeCell ref="B58:C58"/>
    <mergeCell ref="B59:C59"/>
    <mergeCell ref="B56:C56"/>
    <mergeCell ref="B23:C23"/>
    <mergeCell ref="B30:C30"/>
    <mergeCell ref="B29:C29"/>
    <mergeCell ref="B28:C28"/>
    <mergeCell ref="B27:C27"/>
    <mergeCell ref="B26:C26"/>
    <mergeCell ref="B25:C25"/>
    <mergeCell ref="B24:C24"/>
    <mergeCell ref="B53:C53"/>
    <mergeCell ref="B32:E32"/>
    <mergeCell ref="B43:C43"/>
    <mergeCell ref="B44:C44"/>
    <mergeCell ref="F84:I84"/>
    <mergeCell ref="B69:C69"/>
    <mergeCell ref="B109:C109"/>
    <mergeCell ref="F109:I109"/>
    <mergeCell ref="F110:I110"/>
    <mergeCell ref="B111:C111"/>
    <mergeCell ref="F111:I111"/>
    <mergeCell ref="B99:C99"/>
    <mergeCell ref="B100:C100"/>
    <mergeCell ref="F100:I100"/>
    <mergeCell ref="B102:C102"/>
    <mergeCell ref="B104:C104"/>
    <mergeCell ref="F104:I104"/>
    <mergeCell ref="B80:C80"/>
    <mergeCell ref="B85:C85"/>
    <mergeCell ref="B82:C82"/>
    <mergeCell ref="F101:I101"/>
    <mergeCell ref="F103:I103"/>
    <mergeCell ref="F95:I95"/>
    <mergeCell ref="F96:I96"/>
    <mergeCell ref="F69:I69"/>
    <mergeCell ref="F70:I70"/>
    <mergeCell ref="B93:C93"/>
    <mergeCell ref="B95:C95"/>
    <mergeCell ref="L41:U43"/>
    <mergeCell ref="B121:C121"/>
    <mergeCell ref="F122:I122"/>
    <mergeCell ref="B123:C123"/>
    <mergeCell ref="F123:I123"/>
    <mergeCell ref="B115:C115"/>
    <mergeCell ref="F115:I115"/>
    <mergeCell ref="B116:C116"/>
    <mergeCell ref="F117:I117"/>
    <mergeCell ref="B118:C118"/>
    <mergeCell ref="B119:C119"/>
    <mergeCell ref="F119:I119"/>
    <mergeCell ref="B120:C120"/>
    <mergeCell ref="F120:I120"/>
    <mergeCell ref="B112:C112"/>
    <mergeCell ref="F112:I112"/>
    <mergeCell ref="F113:I113"/>
    <mergeCell ref="B114:C114"/>
    <mergeCell ref="F114:I114"/>
    <mergeCell ref="B106:E106"/>
    <mergeCell ref="F106:I106"/>
    <mergeCell ref="B107:C107"/>
    <mergeCell ref="B108:C108"/>
    <mergeCell ref="F108:I108"/>
  </mergeCells>
  <conditionalFormatting sqref="D61">
    <cfRule type="cellIs" dxfId="159" priority="90" operator="equal">
      <formula>"Not enough info"</formula>
    </cfRule>
    <cfRule type="cellIs" dxfId="158" priority="98" operator="equal">
      <formula>"No"</formula>
    </cfRule>
    <cfRule type="cellIs" dxfId="157" priority="99" operator="equal">
      <formula>"Yes"</formula>
    </cfRule>
  </conditionalFormatting>
  <conditionalFormatting sqref="D82">
    <cfRule type="expression" dxfId="156" priority="97">
      <formula>$D$82="Not enough info"</formula>
    </cfRule>
    <cfRule type="cellIs" dxfId="155" priority="106" operator="equal">
      <formula>"No"</formula>
    </cfRule>
    <cfRule type="cellIs" dxfId="154" priority="107" operator="equal">
      <formula>"Yes"</formula>
    </cfRule>
  </conditionalFormatting>
  <conditionalFormatting sqref="D104">
    <cfRule type="cellIs" dxfId="153" priority="76" operator="equal">
      <formula>"Not enough info"</formula>
    </cfRule>
    <cfRule type="cellIs" dxfId="152" priority="77" operator="equal">
      <formula>"No"</formula>
    </cfRule>
    <cfRule type="cellIs" dxfId="151" priority="94" operator="equal">
      <formula>"Yes"</formula>
    </cfRule>
  </conditionalFormatting>
  <conditionalFormatting sqref="B26:I30">
    <cfRule type="expression" dxfId="150" priority="102">
      <formula>$D$21=""</formula>
    </cfRule>
    <cfRule type="expression" dxfId="149" priority="103">
      <formula>$D$21="Relief Valve"</formula>
    </cfRule>
  </conditionalFormatting>
  <conditionalFormatting sqref="B26:I26">
    <cfRule type="expression" dxfId="148" priority="79">
      <formula>$D$21="Relief Valve"</formula>
    </cfRule>
  </conditionalFormatting>
  <conditionalFormatting sqref="B44:I61">
    <cfRule type="expression" dxfId="147" priority="54">
      <formula>$D$43="No"</formula>
    </cfRule>
  </conditionalFormatting>
  <conditionalFormatting sqref="B43:I43">
    <cfRule type="expression" dxfId="146" priority="64">
      <formula>$D$43="No"</formula>
    </cfRule>
  </conditionalFormatting>
  <conditionalFormatting sqref="B66:I82">
    <cfRule type="expression" dxfId="145" priority="52">
      <formula>$D$65="No"</formula>
    </cfRule>
  </conditionalFormatting>
  <conditionalFormatting sqref="B66:I66">
    <cfRule type="expression" dxfId="144" priority="51">
      <formula>$D$65="No"</formula>
    </cfRule>
  </conditionalFormatting>
  <conditionalFormatting sqref="B109:I123">
    <cfRule type="expression" dxfId="143" priority="16">
      <formula>$D$108="No"</formula>
    </cfRule>
  </conditionalFormatting>
  <conditionalFormatting sqref="B86:I86">
    <cfRule type="expression" dxfId="142" priority="39">
      <formula>$D$86="No"</formula>
    </cfRule>
  </conditionalFormatting>
  <conditionalFormatting sqref="B42:F42">
    <cfRule type="expression" dxfId="141" priority="93">
      <formula>$D$43="No"</formula>
    </cfRule>
  </conditionalFormatting>
  <conditionalFormatting sqref="B58:I58">
    <cfRule type="expression" dxfId="140" priority="81">
      <formula>$D$21="Relief Valve"</formula>
    </cfRule>
  </conditionalFormatting>
  <conditionalFormatting sqref="B79:I79">
    <cfRule type="expression" dxfId="139" priority="84">
      <formula>$D$21="Relief Valve"</formula>
    </cfRule>
  </conditionalFormatting>
  <conditionalFormatting sqref="D79">
    <cfRule type="expression" dxfId="138" priority="80">
      <formula>$D$21="Relief Valve"</formula>
    </cfRule>
  </conditionalFormatting>
  <conditionalFormatting sqref="D58">
    <cfRule type="expression" dxfId="137" priority="66">
      <formula>$D$43="No"</formula>
    </cfRule>
    <cfRule type="expression" dxfId="136" priority="69">
      <formula>$D$21="Rupture Disc"</formula>
    </cfRule>
  </conditionalFormatting>
  <conditionalFormatting sqref="B41:I41 B43:I61 B42:F42">
    <cfRule type="expression" dxfId="135" priority="4">
      <formula>$D$33="No"</formula>
    </cfRule>
  </conditionalFormatting>
  <conditionalFormatting sqref="B63:I63 B65:I82 F64:I64">
    <cfRule type="expression" dxfId="134" priority="3">
      <formula>$D$34="No"</formula>
    </cfRule>
  </conditionalFormatting>
  <conditionalFormatting sqref="B84:I84 F85:I85 B86:I104">
    <cfRule type="expression" dxfId="133" priority="8">
      <formula>$D$35="No"</formula>
    </cfRule>
  </conditionalFormatting>
  <conditionalFormatting sqref="D54">
    <cfRule type="cellIs" dxfId="132" priority="100" operator="equal">
      <formula>"Not enough info"</formula>
    </cfRule>
    <cfRule type="cellIs" dxfId="131" priority="113" operator="equal">
      <formula>"No"</formula>
    </cfRule>
    <cfRule type="cellIs" dxfId="130" priority="115" operator="equal">
      <formula>"Yes"</formula>
    </cfRule>
  </conditionalFormatting>
  <conditionalFormatting sqref="B55:I61">
    <cfRule type="expression" dxfId="129" priority="82">
      <formula>$D$54="No"</formula>
    </cfRule>
  </conditionalFormatting>
  <conditionalFormatting sqref="B54:I54">
    <cfRule type="expression" dxfId="128" priority="55">
      <formula>$D$54="Not enough info"</formula>
    </cfRule>
    <cfRule type="expression" dxfId="127" priority="65">
      <formula>$D$54="No"</formula>
    </cfRule>
  </conditionalFormatting>
  <conditionalFormatting sqref="D75">
    <cfRule type="cellIs" dxfId="126" priority="85" operator="equal">
      <formula>"Not enough info"</formula>
    </cfRule>
    <cfRule type="cellIs" dxfId="125" priority="87" operator="equal">
      <formula>"No"</formula>
    </cfRule>
    <cfRule type="cellIs" dxfId="124" priority="96" operator="equal">
      <formula>"Yes"</formula>
    </cfRule>
  </conditionalFormatting>
  <conditionalFormatting sqref="B76:I82">
    <cfRule type="expression" dxfId="123" priority="48">
      <formula>$D$75="No"</formula>
    </cfRule>
  </conditionalFormatting>
  <conditionalFormatting sqref="B75:I75">
    <cfRule type="expression" dxfId="122" priority="46">
      <formula>$D$75="Not enough info"</formula>
    </cfRule>
    <cfRule type="expression" dxfId="121" priority="47">
      <formula>$D$75="No"</formula>
    </cfRule>
  </conditionalFormatting>
  <conditionalFormatting sqref="B98:I104">
    <cfRule type="expression" dxfId="120" priority="37">
      <formula>$D$97="No"</formula>
    </cfRule>
  </conditionalFormatting>
  <conditionalFormatting sqref="B97:I97">
    <cfRule type="expression" dxfId="119" priority="23">
      <formula>$D$97="No"</formula>
    </cfRule>
    <cfRule type="expression" dxfId="118" priority="44">
      <formula>$D$97="Not enough info"</formula>
    </cfRule>
  </conditionalFormatting>
  <conditionalFormatting sqref="D97">
    <cfRule type="cellIs" dxfId="117" priority="95" operator="equal">
      <formula>"Not enough info"</formula>
    </cfRule>
    <cfRule type="cellIs" dxfId="116" priority="104" operator="equal">
      <formula>"No"</formula>
    </cfRule>
    <cfRule type="cellIs" dxfId="115" priority="105" operator="equal">
      <formula>"Yes"</formula>
    </cfRule>
  </conditionalFormatting>
  <conditionalFormatting sqref="B25:I25">
    <cfRule type="expression" dxfId="114" priority="6">
      <formula>$D$21=""</formula>
    </cfRule>
    <cfRule type="expression" dxfId="113" priority="36">
      <formula>$D$21="Relief Valve"</formula>
    </cfRule>
  </conditionalFormatting>
  <conditionalFormatting sqref="B101:E101">
    <cfRule type="expression" dxfId="112" priority="38">
      <formula>$D$21="Relief Valve"</formula>
    </cfRule>
  </conditionalFormatting>
  <conditionalFormatting sqref="D101">
    <cfRule type="expression" dxfId="111" priority="45">
      <formula>$D$21="Relief Valve"</formula>
    </cfRule>
  </conditionalFormatting>
  <conditionalFormatting sqref="D123">
    <cfRule type="cellIs" dxfId="110" priority="30" operator="equal">
      <formula>"Not enough info"</formula>
    </cfRule>
    <cfRule type="cellIs" dxfId="109" priority="34" operator="equal">
      <formula>"Yes"</formula>
    </cfRule>
    <cfRule type="cellIs" dxfId="108" priority="35" operator="equal">
      <formula>"No"</formula>
    </cfRule>
  </conditionalFormatting>
  <conditionalFormatting sqref="B108:I108">
    <cfRule type="expression" dxfId="107" priority="19">
      <formula>$D$108="No"</formula>
    </cfRule>
  </conditionalFormatting>
  <conditionalFormatting sqref="B117:I123">
    <cfRule type="expression" dxfId="106" priority="22">
      <formula>$D$116="No"</formula>
    </cfRule>
  </conditionalFormatting>
  <conditionalFormatting sqref="B116:I116">
    <cfRule type="expression" dxfId="105" priority="18">
      <formula>$D$116="Not enough info"</formula>
    </cfRule>
    <cfRule type="expression" dxfId="104" priority="26">
      <formula>$D$116="No"</formula>
    </cfRule>
  </conditionalFormatting>
  <conditionalFormatting sqref="D116">
    <cfRule type="cellIs" dxfId="103" priority="31" operator="equal">
      <formula>"Not enough info"</formula>
    </cfRule>
    <cfRule type="cellIs" dxfId="102" priority="32" operator="equal">
      <formula>"No"</formula>
    </cfRule>
    <cfRule type="cellIs" dxfId="101" priority="33" operator="equal">
      <formula>"Yes"</formula>
    </cfRule>
  </conditionalFormatting>
  <conditionalFormatting sqref="B120:E120">
    <cfRule type="expression" dxfId="100" priority="28">
      <formula>$D$21="Relief Valve"</formula>
    </cfRule>
  </conditionalFormatting>
  <conditionalFormatting sqref="D120">
    <cfRule type="expression" dxfId="99" priority="27">
      <formula>$D$21="Relief Valve"</formula>
    </cfRule>
  </conditionalFormatting>
  <conditionalFormatting sqref="B106:I123">
    <cfRule type="expression" dxfId="98" priority="1">
      <formula>$D$36="No"</formula>
    </cfRule>
  </conditionalFormatting>
  <conditionalFormatting sqref="B65:I65">
    <cfRule type="expression" dxfId="97" priority="17">
      <formula>$D$65="No"</formula>
    </cfRule>
  </conditionalFormatting>
  <conditionalFormatting sqref="B42:E42">
    <cfRule type="expression" dxfId="96" priority="15">
      <formula>$D$33="Yes"</formula>
    </cfRule>
  </conditionalFormatting>
  <conditionalFormatting sqref="B64:E64">
    <cfRule type="expression" dxfId="95" priority="14">
      <formula>$D$65="No"</formula>
    </cfRule>
  </conditionalFormatting>
  <conditionalFormatting sqref="B64:E64">
    <cfRule type="expression" dxfId="94" priority="13">
      <formula>$D$34="No"</formula>
    </cfRule>
  </conditionalFormatting>
  <conditionalFormatting sqref="B64:E64">
    <cfRule type="expression" dxfId="93" priority="12">
      <formula>$D$34="Yes"</formula>
    </cfRule>
  </conditionalFormatting>
  <conditionalFormatting sqref="B85:E85">
    <cfRule type="expression" dxfId="92" priority="11">
      <formula>$D$86="No"</formula>
    </cfRule>
  </conditionalFormatting>
  <conditionalFormatting sqref="B85:E85">
    <cfRule type="expression" dxfId="91" priority="10">
      <formula>$D$35="No"</formula>
    </cfRule>
  </conditionalFormatting>
  <conditionalFormatting sqref="B85:E85">
    <cfRule type="expression" dxfId="90" priority="9">
      <formula>$D$35="Yes"</formula>
    </cfRule>
  </conditionalFormatting>
  <conditionalFormatting sqref="B87:I104">
    <cfRule type="expression" dxfId="89" priority="2">
      <formula>$D$86="No"</formula>
    </cfRule>
  </conditionalFormatting>
  <conditionalFormatting sqref="L23:U25">
    <cfRule type="expression" dxfId="88" priority="7">
      <formula>$D$21=""</formula>
    </cfRule>
  </conditionalFormatting>
  <conditionalFormatting sqref="L27:U30">
    <cfRule type="expression" dxfId="87" priority="5">
      <formula>$D$21=""</formula>
    </cfRule>
  </conditionalFormatting>
  <dataValidations count="8">
    <dataValidation type="list" allowBlank="1" showInputMessage="1" showErrorMessage="1" sqref="D13" xr:uid="{00000000-0002-0000-0000-000002000000}">
      <formula1>"2:1 Elliptical,ASME F&amp;D,Hemispherical,Flat"</formula1>
    </dataValidation>
    <dataValidation type="list" allowBlank="1" showInputMessage="1" showErrorMessage="1" sqref="D67" xr:uid="{00000000-0002-0000-0000-000003000000}">
      <formula1>"Fire, Non-Fire, N/A"</formula1>
    </dataValidation>
    <dataValidation type="list" allowBlank="1" showInputMessage="1" showErrorMessage="1" sqref="D86 D65 D33:D39 D43 D108" xr:uid="{00000000-0002-0000-0000-000004000000}">
      <formula1>"Yes,No"</formula1>
    </dataValidation>
    <dataValidation type="list" allowBlank="1" showInputMessage="1" showErrorMessage="1" sqref="D27" xr:uid="{00000000-0002-0000-0000-000005000000}">
      <formula1>"0, -0.05, -0.1"</formula1>
    </dataValidation>
    <dataValidation type="list" allowBlank="1" showInputMessage="1" showErrorMessage="1" sqref="D28" xr:uid="{00000000-0002-0000-0000-000006000000}">
      <formula1>"-0.05, 0, +0.05,"</formula1>
    </dataValidation>
    <dataValidation type="list" allowBlank="1" showInputMessage="1" showErrorMessage="1" sqref="D29" xr:uid="{00000000-0002-0000-0000-000007000000}">
      <formula1>"0.9, 1"</formula1>
    </dataValidation>
    <dataValidation allowBlank="1" showDropDown="1" showInputMessage="1" showErrorMessage="1" sqref="D44:D45 D87:D88 D109:D110" xr:uid="{39C503A3-0DD8-444A-9938-B2F440747B91}"/>
    <dataValidation type="list" allowBlank="1" showInputMessage="1" showErrorMessage="1" sqref="D21" xr:uid="{0459298B-A8C5-4067-ADA2-5A1FBFA7E943}">
      <formula1>"Relief Valve, Rupture Disc"</formula1>
    </dataValidation>
  </dataValidations>
  <pageMargins left="0.47244094488188981" right="0.47244094488188981" top="0.51181102362204722" bottom="0.51181102362204722" header="0.31496062992125984" footer="0"/>
  <pageSetup scale="85" fitToHeight="6"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8000000}">
          <x14:formula1>
            <xm:f>Fluids!$B$3:$B$22</xm:f>
          </x14:formula1>
          <xm:sqref>D16</xm:sqref>
        </x14:dataValidation>
        <x14:dataValidation type="list" allowBlank="1" showInputMessage="1" showErrorMessage="1" xr:uid="{591A50E7-F84B-4469-8D94-89EA3AC98029}">
          <x14:formula1>
            <xm:f>'Head Area Table'!$B$4:$B$37</xm:f>
          </x14:formula1>
          <xm:sqref>D12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L80"/>
  <sheetViews>
    <sheetView showGridLines="0" topLeftCell="A46" zoomScaleNormal="100" workbookViewId="0">
      <selection activeCell="K62" sqref="K62:K66"/>
    </sheetView>
  </sheetViews>
  <sheetFormatPr baseColWidth="10" defaultColWidth="9.1640625" defaultRowHeight="14" x14ac:dyDescent="0.2"/>
  <cols>
    <col min="1" max="1" width="2.83203125" style="24" customWidth="1"/>
    <col min="2" max="2" width="35.83203125" style="24" customWidth="1"/>
    <col min="3" max="3" width="16.5" style="24" customWidth="1"/>
    <col min="4" max="4" width="14.6640625" style="24" customWidth="1"/>
    <col min="5" max="8" width="12.6640625" style="24" customWidth="1"/>
    <col min="9" max="9" width="2.83203125" style="24" customWidth="1"/>
    <col min="10" max="10" width="13.83203125" style="24" customWidth="1"/>
    <col min="11" max="11" width="14.5" style="24" customWidth="1"/>
    <col min="12" max="12" width="14.33203125" style="24" customWidth="1"/>
    <col min="13" max="13" width="14.1640625" style="24" customWidth="1"/>
    <col min="14" max="14" width="12.5" style="24" customWidth="1"/>
    <col min="15" max="15" width="14.33203125" style="24" customWidth="1"/>
    <col min="16" max="16" width="11.6640625" style="24" bestFit="1" customWidth="1"/>
    <col min="17" max="17" width="11.33203125" style="24" bestFit="1" customWidth="1"/>
    <col min="18" max="19" width="12.33203125" style="24" customWidth="1"/>
    <col min="20" max="20" width="12" style="24" bestFit="1" customWidth="1"/>
    <col min="21" max="21" width="12.33203125" style="24" customWidth="1"/>
    <col min="22" max="23" width="12.5" style="24" bestFit="1" customWidth="1"/>
    <col min="24" max="24" width="10.5" style="24" bestFit="1" customWidth="1"/>
    <col min="25" max="25" width="10.5" style="24" customWidth="1"/>
    <col min="26" max="26" width="12.83203125" style="24" customWidth="1"/>
    <col min="27" max="27" width="12.6640625" style="24" bestFit="1" customWidth="1"/>
    <col min="28" max="28" width="14.1640625" style="24" customWidth="1"/>
    <col min="29" max="29" width="14.5" style="24" customWidth="1"/>
    <col min="30" max="30" width="14.33203125" style="24" customWidth="1"/>
    <col min="31" max="31" width="14.5" style="24" customWidth="1"/>
    <col min="32" max="32" width="11.83203125" style="24" customWidth="1"/>
    <col min="33" max="33" width="11.83203125" style="24" bestFit="1" customWidth="1"/>
    <col min="34" max="34" width="12.5" style="24" bestFit="1" customWidth="1"/>
    <col min="35" max="35" width="11.83203125" style="24" bestFit="1" customWidth="1"/>
    <col min="36" max="36" width="11.6640625" style="24" bestFit="1" customWidth="1"/>
    <col min="37" max="16384" width="9.1640625" style="24"/>
  </cols>
  <sheetData>
    <row r="1" spans="1:38" ht="15" customHeight="1" x14ac:dyDescent="0.2">
      <c r="A1" s="230"/>
      <c r="B1" s="230"/>
      <c r="C1" s="230"/>
    </row>
    <row r="2" spans="1:38" ht="100.5" customHeight="1" x14ac:dyDescent="0.2">
      <c r="A2" s="230"/>
      <c r="B2" s="231"/>
      <c r="C2" s="232"/>
      <c r="D2" s="507" t="s">
        <v>26</v>
      </c>
      <c r="E2" s="508"/>
      <c r="F2" s="508"/>
      <c r="G2" s="508"/>
      <c r="H2" s="509"/>
      <c r="J2" s="233"/>
      <c r="K2" s="233"/>
      <c r="L2" s="234"/>
      <c r="M2" s="234"/>
      <c r="N2" s="234"/>
    </row>
    <row r="3" spans="1:38" x14ac:dyDescent="0.2">
      <c r="B3" s="235" t="s">
        <v>160</v>
      </c>
      <c r="C3" s="236"/>
      <c r="D3" s="237" t="s">
        <v>161</v>
      </c>
      <c r="E3" s="513" t="s">
        <v>162</v>
      </c>
      <c r="F3" s="514"/>
      <c r="G3" s="514"/>
      <c r="H3" s="515"/>
      <c r="J3" s="238"/>
      <c r="L3" s="239"/>
      <c r="M3" s="239"/>
      <c r="N3" s="239"/>
    </row>
    <row r="4" spans="1:38" ht="14.25" customHeight="1" x14ac:dyDescent="0.2">
      <c r="B4" s="522" t="str">
        <f>IF(Summary!B4="","",Summary!B4)</f>
        <v/>
      </c>
      <c r="C4" s="523"/>
      <c r="D4" s="343" t="str">
        <f>IF(Summary!D4="","",Summary!D4)</f>
        <v/>
      </c>
      <c r="E4" s="240" t="s">
        <v>22</v>
      </c>
      <c r="F4" s="240" t="s">
        <v>23</v>
      </c>
      <c r="G4" s="240" t="s">
        <v>24</v>
      </c>
      <c r="H4" s="240" t="s">
        <v>1</v>
      </c>
      <c r="L4" s="239"/>
      <c r="M4" s="239"/>
      <c r="N4" s="239"/>
      <c r="AH4" s="66"/>
      <c r="AI4" s="67"/>
      <c r="AJ4" s="66"/>
      <c r="AK4" s="25"/>
      <c r="AL4" s="66"/>
    </row>
    <row r="5" spans="1:38" x14ac:dyDescent="0.2">
      <c r="B5" s="235" t="s">
        <v>1</v>
      </c>
      <c r="C5" s="236"/>
      <c r="D5" s="241" t="s">
        <v>23</v>
      </c>
      <c r="E5" s="344"/>
      <c r="F5" s="345"/>
      <c r="G5" s="346"/>
      <c r="H5" s="347"/>
      <c r="L5" s="242"/>
      <c r="M5" s="242"/>
      <c r="N5" s="242"/>
    </row>
    <row r="6" spans="1:38" x14ac:dyDescent="0.2">
      <c r="B6" s="520" t="s">
        <v>8</v>
      </c>
      <c r="C6" s="521"/>
      <c r="D6" s="243" t="str">
        <f>IF(Summary!D6="","",Summary!D6)</f>
        <v/>
      </c>
      <c r="E6" s="344"/>
      <c r="F6" s="345"/>
      <c r="G6" s="347"/>
      <c r="H6" s="347"/>
      <c r="L6" s="242"/>
      <c r="M6" s="242"/>
      <c r="N6" s="242"/>
      <c r="AH6" s="136"/>
      <c r="AI6" s="136"/>
    </row>
    <row r="7" spans="1:38" ht="15" customHeight="1" x14ac:dyDescent="0.2">
      <c r="B7" s="516" t="s">
        <v>187</v>
      </c>
      <c r="C7" s="516"/>
      <c r="D7" s="516"/>
      <c r="E7" s="516"/>
      <c r="F7" s="516"/>
      <c r="G7" s="516"/>
      <c r="H7" s="516"/>
    </row>
    <row r="8" spans="1:38" ht="15" customHeight="1" x14ac:dyDescent="0.2">
      <c r="B8" s="490" t="s">
        <v>102</v>
      </c>
      <c r="C8" s="490"/>
      <c r="D8" s="490"/>
      <c r="E8" s="490" t="s">
        <v>10</v>
      </c>
      <c r="F8" s="490"/>
      <c r="G8" s="490"/>
      <c r="H8" s="490"/>
    </row>
    <row r="9" spans="1:38" ht="15" customHeight="1" x14ac:dyDescent="0.2">
      <c r="B9" s="244" t="s">
        <v>1</v>
      </c>
      <c r="C9" s="244" t="s">
        <v>27</v>
      </c>
      <c r="D9" s="245" t="s">
        <v>32</v>
      </c>
      <c r="E9" s="478"/>
      <c r="F9" s="479"/>
      <c r="G9" s="479"/>
      <c r="H9" s="480"/>
    </row>
    <row r="10" spans="1:38" ht="15" customHeight="1" x14ac:dyDescent="0.2">
      <c r="B10" s="105" t="s">
        <v>61</v>
      </c>
      <c r="C10" s="170" t="str">
        <f>IF(Summary!D10="","",Summary!D10)</f>
        <v/>
      </c>
      <c r="D10" s="130"/>
      <c r="E10" s="481"/>
      <c r="F10" s="482"/>
      <c r="G10" s="482"/>
      <c r="H10" s="483"/>
    </row>
    <row r="11" spans="1:38" ht="15" customHeight="1" x14ac:dyDescent="0.2">
      <c r="B11" s="101" t="s">
        <v>4</v>
      </c>
      <c r="C11" s="106" t="s">
        <v>7</v>
      </c>
      <c r="D11" s="131"/>
      <c r="E11" s="481"/>
      <c r="F11" s="482"/>
      <c r="G11" s="482"/>
      <c r="H11" s="483"/>
    </row>
    <row r="12" spans="1:38" ht="15" customHeight="1" x14ac:dyDescent="0.2">
      <c r="B12" s="101" t="s">
        <v>3</v>
      </c>
      <c r="C12" s="107" t="str">
        <f>Summary!D15</f>
        <v>ASME VIII</v>
      </c>
      <c r="D12" s="131"/>
      <c r="E12" s="481"/>
      <c r="F12" s="482"/>
      <c r="G12" s="482"/>
      <c r="H12" s="483"/>
    </row>
    <row r="13" spans="1:38" ht="15" customHeight="1" x14ac:dyDescent="0.2">
      <c r="B13" s="101" t="s">
        <v>152</v>
      </c>
      <c r="C13" s="108" t="str">
        <f>IF(Summary!$D$11="","",Summary!$D$11)</f>
        <v/>
      </c>
      <c r="D13" s="131" t="s">
        <v>139</v>
      </c>
      <c r="E13" s="481"/>
      <c r="F13" s="482"/>
      <c r="G13" s="482"/>
      <c r="H13" s="483"/>
    </row>
    <row r="14" spans="1:38" ht="15" customHeight="1" x14ac:dyDescent="0.2">
      <c r="B14" s="101" t="s">
        <v>151</v>
      </c>
      <c r="C14" s="108" t="str">
        <f>IF(Summary!$D$12="","",Summary!$D$12)</f>
        <v/>
      </c>
      <c r="D14" s="131" t="s">
        <v>139</v>
      </c>
      <c r="E14" s="481"/>
      <c r="F14" s="482"/>
      <c r="G14" s="482"/>
      <c r="H14" s="483"/>
    </row>
    <row r="15" spans="1:38" ht="15" customHeight="1" x14ac:dyDescent="0.2">
      <c r="B15" s="101" t="s">
        <v>19</v>
      </c>
      <c r="C15" s="108" t="str">
        <f>IF(Summary!D13="","",Summary!D13)</f>
        <v/>
      </c>
      <c r="D15" s="131"/>
      <c r="E15" s="481"/>
      <c r="F15" s="482"/>
      <c r="G15" s="482"/>
      <c r="H15" s="483"/>
    </row>
    <row r="16" spans="1:38" ht="15" customHeight="1" x14ac:dyDescent="0.2">
      <c r="B16" s="101" t="s">
        <v>150</v>
      </c>
      <c r="C16" s="109" t="str">
        <f>Summary!D17</f>
        <v/>
      </c>
      <c r="D16" s="131" t="s">
        <v>140</v>
      </c>
      <c r="E16" s="481"/>
      <c r="F16" s="482"/>
      <c r="G16" s="482"/>
      <c r="H16" s="483"/>
    </row>
    <row r="17" spans="2:8" ht="15" customHeight="1" x14ac:dyDescent="0.2">
      <c r="B17" s="101" t="s">
        <v>40</v>
      </c>
      <c r="C17" s="110" t="str">
        <f>IF(Summary!D16="","",Summary!D16)</f>
        <v/>
      </c>
      <c r="D17" s="131"/>
      <c r="E17" s="481"/>
      <c r="F17" s="482"/>
      <c r="G17" s="482"/>
      <c r="H17" s="483"/>
    </row>
    <row r="18" spans="2:8" ht="15" customHeight="1" x14ac:dyDescent="0.2">
      <c r="B18" s="101" t="s">
        <v>149</v>
      </c>
      <c r="C18" s="108" t="str">
        <f>IF(Summary!D14="","",Summary!D14)</f>
        <v/>
      </c>
      <c r="D18" s="131" t="s">
        <v>43</v>
      </c>
      <c r="E18" s="481"/>
      <c r="F18" s="482"/>
      <c r="G18" s="482"/>
      <c r="H18" s="483"/>
    </row>
    <row r="19" spans="2:8" ht="15" customHeight="1" x14ac:dyDescent="0.2">
      <c r="B19" s="102" t="s">
        <v>165</v>
      </c>
      <c r="C19" s="106">
        <f>1.21</f>
        <v>1.21</v>
      </c>
      <c r="D19" s="131" t="s">
        <v>190</v>
      </c>
      <c r="E19" s="481"/>
      <c r="F19" s="482"/>
      <c r="G19" s="482"/>
      <c r="H19" s="483"/>
    </row>
    <row r="20" spans="2:8" ht="15" customHeight="1" x14ac:dyDescent="0.2">
      <c r="B20" s="103" t="s">
        <v>147</v>
      </c>
      <c r="C20" s="108" t="str">
        <f>IF(C18="","",C18*C19)</f>
        <v/>
      </c>
      <c r="D20" s="131" t="s">
        <v>43</v>
      </c>
      <c r="E20" s="481"/>
      <c r="F20" s="482"/>
      <c r="G20" s="482"/>
      <c r="H20" s="483"/>
    </row>
    <row r="21" spans="2:8" ht="15" customHeight="1" x14ac:dyDescent="0.2">
      <c r="B21" s="101" t="str">
        <f>IF(Summary!$D$21="Relief Valve","ASME Set Pressure","ASME Burst Pressure")</f>
        <v>ASME Burst Pressure</v>
      </c>
      <c r="C21" s="108" t="str">
        <f>IF(Summary!$D$22="","",Summary!$D$22)</f>
        <v/>
      </c>
      <c r="D21" s="131" t="s">
        <v>43</v>
      </c>
      <c r="E21" s="481"/>
      <c r="F21" s="482"/>
      <c r="G21" s="482"/>
      <c r="H21" s="483"/>
    </row>
    <row r="22" spans="2:8" ht="15" customHeight="1" x14ac:dyDescent="0.2">
      <c r="B22" s="104" t="s">
        <v>156</v>
      </c>
      <c r="C22" s="111" t="str">
        <f>IF(Summary!D21="Relief Valve",IF(OR(C20="",C21=""),"",C20-C21),IF(OR(C20="",C28=""),"",C20-C28))</f>
        <v/>
      </c>
      <c r="D22" s="132" t="s">
        <v>43</v>
      </c>
      <c r="E22" s="484"/>
      <c r="F22" s="485"/>
      <c r="G22" s="485"/>
      <c r="H22" s="486"/>
    </row>
    <row r="23" spans="2:8" ht="15" customHeight="1" x14ac:dyDescent="0.2">
      <c r="D23" s="136"/>
    </row>
    <row r="24" spans="2:8" ht="15" customHeight="1" x14ac:dyDescent="0.2">
      <c r="B24" s="517" t="s">
        <v>122</v>
      </c>
      <c r="C24" s="518"/>
      <c r="D24" s="519"/>
      <c r="E24" s="490" t="s">
        <v>10</v>
      </c>
      <c r="F24" s="490"/>
      <c r="G24" s="490"/>
      <c r="H24" s="490"/>
    </row>
    <row r="25" spans="2:8" ht="15" customHeight="1" x14ac:dyDescent="0.2">
      <c r="B25" s="129" t="s">
        <v>1</v>
      </c>
      <c r="C25" s="129" t="s">
        <v>27</v>
      </c>
      <c r="D25" s="129" t="s">
        <v>32</v>
      </c>
      <c r="E25" s="478"/>
      <c r="F25" s="479"/>
      <c r="G25" s="479"/>
      <c r="H25" s="480"/>
    </row>
    <row r="26" spans="2:8" ht="15" customHeight="1" x14ac:dyDescent="0.2">
      <c r="B26" s="115" t="s">
        <v>127</v>
      </c>
      <c r="C26" s="118" t="str">
        <f>IF(Summary!D27="","",Summary!D27)</f>
        <v/>
      </c>
      <c r="D26" s="130"/>
      <c r="E26" s="481"/>
      <c r="F26" s="482"/>
      <c r="G26" s="482"/>
      <c r="H26" s="483"/>
    </row>
    <row r="27" spans="2:8" ht="15" customHeight="1" x14ac:dyDescent="0.2">
      <c r="B27" s="116" t="s">
        <v>126</v>
      </c>
      <c r="C27" s="119" t="str">
        <f>IF(Summary!D28="","",Summary!D28)</f>
        <v/>
      </c>
      <c r="D27" s="131"/>
      <c r="E27" s="481"/>
      <c r="F27" s="482"/>
      <c r="G27" s="482"/>
      <c r="H27" s="483"/>
    </row>
    <row r="28" spans="2:8" ht="15" customHeight="1" x14ac:dyDescent="0.2">
      <c r="B28" s="117" t="s">
        <v>142</v>
      </c>
      <c r="C28" s="120" t="str">
        <f>IF(OR(C21="",C26="",C27="",Summary!D29=""),"",+C21*(1+C26)*(1+C27)*Summary!D29)</f>
        <v/>
      </c>
      <c r="D28" s="132" t="s">
        <v>43</v>
      </c>
      <c r="E28" s="484"/>
      <c r="F28" s="485"/>
      <c r="G28" s="485"/>
      <c r="H28" s="486"/>
    </row>
    <row r="29" spans="2:8" ht="15" customHeight="1" x14ac:dyDescent="0.2"/>
    <row r="30" spans="2:8" ht="15" customHeight="1" x14ac:dyDescent="0.2">
      <c r="B30" s="517" t="s">
        <v>120</v>
      </c>
      <c r="C30" s="518"/>
      <c r="D30" s="519"/>
      <c r="E30" s="490" t="s">
        <v>10</v>
      </c>
      <c r="F30" s="490"/>
      <c r="G30" s="490"/>
      <c r="H30" s="490"/>
    </row>
    <row r="31" spans="2:8" ht="15" customHeight="1" x14ac:dyDescent="0.2">
      <c r="B31" s="133" t="s">
        <v>1</v>
      </c>
      <c r="C31" s="133" t="s">
        <v>27</v>
      </c>
      <c r="D31" s="133" t="s">
        <v>32</v>
      </c>
      <c r="E31" s="478"/>
      <c r="F31" s="479"/>
      <c r="G31" s="479"/>
      <c r="H31" s="480"/>
    </row>
    <row r="32" spans="2:8" ht="15" customHeight="1" x14ac:dyDescent="0.2">
      <c r="B32" s="105" t="s">
        <v>6</v>
      </c>
      <c r="C32" s="113" t="s">
        <v>60</v>
      </c>
      <c r="D32" s="134"/>
      <c r="E32" s="481"/>
      <c r="F32" s="482"/>
      <c r="G32" s="482"/>
      <c r="H32" s="483"/>
    </row>
    <row r="33" spans="2:18" ht="15" customHeight="1" x14ac:dyDescent="0.2">
      <c r="B33" s="101" t="s">
        <v>146</v>
      </c>
      <c r="C33" s="114"/>
      <c r="D33" s="135" t="s">
        <v>153</v>
      </c>
      <c r="E33" s="481"/>
      <c r="F33" s="482"/>
      <c r="G33" s="482"/>
      <c r="H33" s="483"/>
    </row>
    <row r="34" spans="2:18" ht="15" customHeight="1" x14ac:dyDescent="0.2">
      <c r="B34" s="101" t="s">
        <v>145</v>
      </c>
      <c r="C34" s="166" t="str">
        <f>IF(C17="","",VLOOKUP(C17,Fluids!B2:C22,2,FALSE))</f>
        <v/>
      </c>
      <c r="D34" s="131" t="s">
        <v>141</v>
      </c>
      <c r="E34" s="481"/>
      <c r="F34" s="482"/>
      <c r="G34" s="482"/>
      <c r="H34" s="483"/>
    </row>
    <row r="35" spans="2:18" ht="15" customHeight="1" x14ac:dyDescent="0.2">
      <c r="B35" s="112" t="s">
        <v>144</v>
      </c>
      <c r="C35" s="167" t="str">
        <f>IF(OR(C16="",C32="",C34=""),"",IF(AND(C32="NFPA 30",C16&gt;20,C16&lt;=200),20000*C16/C34,IF(AND(C32="NFPA 30",C16&gt;200,C16&lt;=1000),(199300*C16^0.566)/C34,IF(AND(C32="NFPA 30",C16&gt;1000,C16&lt;=2800),(963400*C16^0.338)/C34,IF(AND(C32="NFPA 30",C16&gt;2800),(21000*C16^0.82)/C34,IF(C32="API 521",21000*(C16^0.82)/C34,"N/A"))))))</f>
        <v/>
      </c>
      <c r="D35" s="131" t="s">
        <v>76</v>
      </c>
      <c r="E35" s="481"/>
      <c r="F35" s="482"/>
      <c r="G35" s="482"/>
      <c r="H35" s="483"/>
    </row>
    <row r="36" spans="2:18" ht="15" customHeight="1" x14ac:dyDescent="0.2">
      <c r="B36" s="162" t="s">
        <v>41</v>
      </c>
      <c r="C36" s="152" t="str">
        <f>IF(OR(C35="N/A",C35=""),"",C35/0.9)</f>
        <v/>
      </c>
      <c r="D36" s="164" t="s">
        <v>76</v>
      </c>
      <c r="E36" s="481"/>
      <c r="F36" s="482"/>
      <c r="G36" s="482"/>
      <c r="H36" s="483"/>
    </row>
    <row r="37" spans="2:18" ht="15" customHeight="1" x14ac:dyDescent="0.2">
      <c r="B37" s="163" t="s">
        <v>143</v>
      </c>
      <c r="C37" s="171" t="str">
        <f>IF(C36="","",70.5*C36*C34/VLOOKUP(C17,Fluids!B2:E22,4,FALSE))</f>
        <v/>
      </c>
      <c r="D37" s="155" t="s">
        <v>138</v>
      </c>
      <c r="E37" s="481"/>
      <c r="F37" s="482"/>
      <c r="G37" s="482"/>
      <c r="H37" s="483"/>
    </row>
    <row r="38" spans="2:18" ht="15" customHeight="1" x14ac:dyDescent="0.2">
      <c r="B38" s="246" t="s">
        <v>182</v>
      </c>
      <c r="C38" s="175" t="str">
        <f>IF(C37="","Not enough info",IF(C37=MAX(C37,'Case 2 - Nitrogen Cntrl Failure'!C46,'Case 2 - Nitrogen Cntrl Failure'!C30,'Case 3 - Split Exchanger Tube'!C34,'Case 4 - Liquid Overfill'!C31),"Yes","No"))</f>
        <v>Not enough info</v>
      </c>
      <c r="D38" s="165"/>
      <c r="E38" s="484"/>
      <c r="F38" s="485"/>
      <c r="G38" s="485"/>
      <c r="H38" s="486"/>
    </row>
    <row r="39" spans="2:18" ht="15" customHeight="1" x14ac:dyDescent="0.2"/>
    <row r="40" spans="2:18" ht="15" customHeight="1" x14ac:dyDescent="0.2">
      <c r="B40" s="474" t="s">
        <v>154</v>
      </c>
      <c r="C40" s="474"/>
      <c r="D40" s="474"/>
      <c r="E40" s="474"/>
      <c r="F40" s="474"/>
      <c r="G40" s="474"/>
      <c r="H40" s="474"/>
      <c r="I40" s="474"/>
      <c r="J40" s="474"/>
      <c r="K40" s="474"/>
      <c r="L40" s="474"/>
    </row>
    <row r="41" spans="2:18" ht="15" customHeight="1" x14ac:dyDescent="0.2">
      <c r="B41" s="474" t="s">
        <v>172</v>
      </c>
      <c r="C41" s="474"/>
      <c r="D41" s="474"/>
      <c r="E41" s="474"/>
      <c r="F41" s="474"/>
      <c r="G41" s="474"/>
      <c r="H41" s="474"/>
      <c r="I41" s="474"/>
      <c r="J41" s="474"/>
      <c r="K41" s="474"/>
      <c r="L41" s="474"/>
      <c r="M41" s="474"/>
      <c r="N41" s="474"/>
      <c r="O41" s="474"/>
      <c r="P41" s="474"/>
      <c r="Q41" s="474"/>
    </row>
    <row r="42" spans="2:18" ht="15" customHeight="1" x14ac:dyDescent="0.2">
      <c r="B42" s="54" t="s">
        <v>174</v>
      </c>
      <c r="C42" s="54"/>
      <c r="D42" s="54"/>
      <c r="E42" s="54"/>
      <c r="F42" s="54"/>
      <c r="G42" s="54"/>
      <c r="H42" s="54"/>
      <c r="I42" s="54"/>
      <c r="J42" s="54"/>
      <c r="K42" s="54"/>
      <c r="L42" s="54"/>
      <c r="M42" s="54"/>
      <c r="N42" s="54"/>
      <c r="O42" s="54"/>
      <c r="P42" s="54"/>
      <c r="Q42" s="54"/>
      <c r="R42" s="54"/>
    </row>
    <row r="43" spans="2:18" ht="15" customHeight="1" x14ac:dyDescent="0.2">
      <c r="B43" s="474" t="s">
        <v>168</v>
      </c>
      <c r="C43" s="474"/>
      <c r="D43" s="474"/>
      <c r="E43" s="474"/>
      <c r="F43" s="474"/>
      <c r="G43" s="474"/>
      <c r="H43" s="474"/>
      <c r="I43" s="474"/>
      <c r="J43" s="474"/>
      <c r="K43" s="474"/>
      <c r="L43" s="474"/>
    </row>
    <row r="44" spans="2:18" ht="15" customHeight="1" x14ac:dyDescent="0.2">
      <c r="B44" s="491" t="s">
        <v>103</v>
      </c>
      <c r="C44" s="491"/>
      <c r="D44" s="491"/>
      <c r="E44" s="491"/>
      <c r="F44" s="491"/>
      <c r="G44" s="491"/>
      <c r="H44" s="491"/>
      <c r="I44" s="491"/>
      <c r="J44" s="491"/>
      <c r="K44" s="491"/>
      <c r="L44" s="491"/>
    </row>
    <row r="45" spans="2:18" ht="15" customHeight="1" x14ac:dyDescent="0.2"/>
    <row r="46" spans="2:18" ht="15" x14ac:dyDescent="0.2">
      <c r="B46" s="247" t="s">
        <v>99</v>
      </c>
      <c r="C46" s="512" t="s">
        <v>105</v>
      </c>
      <c r="D46" s="512"/>
      <c r="E46" s="512"/>
      <c r="F46" s="512"/>
      <c r="G46" s="512"/>
      <c r="H46" s="512"/>
    </row>
    <row r="47" spans="2:18" x14ac:dyDescent="0.2">
      <c r="B47" s="248"/>
      <c r="C47" s="248"/>
      <c r="D47" s="249"/>
      <c r="E47" s="249"/>
      <c r="F47" s="249"/>
      <c r="G47" s="249"/>
      <c r="H47" s="249"/>
      <c r="I47" s="249"/>
    </row>
    <row r="48" spans="2:18" ht="15" customHeight="1" x14ac:dyDescent="0.2">
      <c r="B48" s="477" t="s">
        <v>155</v>
      </c>
      <c r="C48" s="477"/>
      <c r="D48" s="477"/>
      <c r="E48" s="490" t="s">
        <v>10</v>
      </c>
      <c r="F48" s="490"/>
      <c r="G48" s="490"/>
      <c r="H48" s="490"/>
    </row>
    <row r="49" spans="2:8" ht="15" customHeight="1" x14ac:dyDescent="0.2">
      <c r="B49" s="244" t="s">
        <v>1</v>
      </c>
      <c r="C49" s="244" t="s">
        <v>27</v>
      </c>
      <c r="D49" s="244" t="s">
        <v>32</v>
      </c>
      <c r="E49" s="478"/>
      <c r="F49" s="479"/>
      <c r="G49" s="479"/>
      <c r="H49" s="480"/>
    </row>
    <row r="50" spans="2:8" ht="15" customHeight="1" x14ac:dyDescent="0.2">
      <c r="B50" s="158" t="s">
        <v>211</v>
      </c>
      <c r="C50" s="126"/>
      <c r="D50" s="250" t="s">
        <v>43</v>
      </c>
      <c r="E50" s="481"/>
      <c r="F50" s="482"/>
      <c r="G50" s="482"/>
      <c r="H50" s="483"/>
    </row>
    <row r="51" spans="2:8" ht="15" customHeight="1" x14ac:dyDescent="0.2">
      <c r="B51" s="159" t="s">
        <v>39</v>
      </c>
      <c r="C51" s="127"/>
      <c r="D51" s="251" t="s">
        <v>43</v>
      </c>
      <c r="E51" s="481"/>
      <c r="F51" s="482"/>
      <c r="G51" s="482"/>
      <c r="H51" s="483"/>
    </row>
    <row r="52" spans="2:8" ht="15" customHeight="1" x14ac:dyDescent="0.2">
      <c r="B52" s="98" t="s">
        <v>176</v>
      </c>
      <c r="C52" s="154" t="str">
        <f>IF(Summary!D21="Relief Valve",IF(OR(C50="",C21=""),"",C21+C50),IF(OR(C28="",C50=""),"",C50+C28))</f>
        <v/>
      </c>
      <c r="D52" s="252" t="s">
        <v>43</v>
      </c>
      <c r="E52" s="484"/>
      <c r="F52" s="485"/>
      <c r="G52" s="485"/>
      <c r="H52" s="486"/>
    </row>
    <row r="53" spans="2:8" ht="15" customHeight="1" x14ac:dyDescent="0.2">
      <c r="B53" s="121"/>
    </row>
    <row r="54" spans="2:8" ht="15" customHeight="1" x14ac:dyDescent="0.2">
      <c r="B54" s="477" t="s">
        <v>159</v>
      </c>
      <c r="C54" s="477"/>
      <c r="D54" s="477"/>
      <c r="E54" s="477" t="s">
        <v>10</v>
      </c>
      <c r="F54" s="477"/>
      <c r="G54" s="477"/>
      <c r="H54" s="477"/>
    </row>
    <row r="55" spans="2:8" ht="15" customHeight="1" x14ac:dyDescent="0.2">
      <c r="B55" s="97" t="s">
        <v>170</v>
      </c>
      <c r="C55" s="505" t="str">
        <f>IF(OR(C51="",C20=""),"",IF(C51&lt;C20,"Yes","No"))</f>
        <v/>
      </c>
      <c r="D55" s="506"/>
      <c r="E55" s="478"/>
      <c r="F55" s="479"/>
      <c r="G55" s="479"/>
      <c r="H55" s="480"/>
    </row>
    <row r="56" spans="2:8" ht="15" customHeight="1" x14ac:dyDescent="0.2">
      <c r="B56" s="168" t="s">
        <v>171</v>
      </c>
      <c r="C56" s="501" t="str">
        <f>IF(OR(C52="",C20=""),"",IF(C52&lt;C20,"Yes","No"))</f>
        <v/>
      </c>
      <c r="D56" s="502"/>
      <c r="E56" s="481"/>
      <c r="F56" s="482"/>
      <c r="G56" s="482"/>
      <c r="H56" s="483"/>
    </row>
    <row r="57" spans="2:8" ht="15" customHeight="1" x14ac:dyDescent="0.2">
      <c r="B57" s="96" t="s">
        <v>175</v>
      </c>
      <c r="C57" s="503" t="str">
        <f>IF(AND(Summary!D21="Relief Valve",C56="Yes"),"Yes",IF(OR(C55="",C56=""),"Not enough info",IF(AND(C56="Yes",C55="Yes"),"Yes","No")))</f>
        <v>Not enough info</v>
      </c>
      <c r="D57" s="504"/>
      <c r="E57" s="484"/>
      <c r="F57" s="485"/>
      <c r="G57" s="485"/>
      <c r="H57" s="486"/>
    </row>
    <row r="58" spans="2:8" ht="15" customHeight="1" x14ac:dyDescent="0.2"/>
    <row r="59" spans="2:8" ht="15" customHeight="1" x14ac:dyDescent="0.2"/>
    <row r="60" spans="2:8" ht="15" customHeight="1" x14ac:dyDescent="0.2">
      <c r="B60" s="475" t="s">
        <v>72</v>
      </c>
      <c r="C60" s="476"/>
      <c r="D60" s="136"/>
    </row>
    <row r="61" spans="2:8" ht="15" customHeight="1" x14ac:dyDescent="0.2">
      <c r="B61" s="142" t="s">
        <v>71</v>
      </c>
      <c r="C61" s="143" t="s">
        <v>62</v>
      </c>
      <c r="D61" s="136"/>
    </row>
    <row r="62" spans="2:8" ht="15" customHeight="1" x14ac:dyDescent="0.2">
      <c r="B62" s="153" t="s">
        <v>63</v>
      </c>
      <c r="C62" s="153" t="s">
        <v>64</v>
      </c>
      <c r="D62" s="136"/>
    </row>
    <row r="63" spans="2:8" ht="15" customHeight="1" x14ac:dyDescent="0.2">
      <c r="B63" s="155" t="s">
        <v>65</v>
      </c>
      <c r="C63" s="155" t="s">
        <v>68</v>
      </c>
      <c r="D63" s="136"/>
    </row>
    <row r="64" spans="2:8" ht="15" customHeight="1" x14ac:dyDescent="0.2">
      <c r="B64" s="155" t="s">
        <v>66</v>
      </c>
      <c r="C64" s="155" t="s">
        <v>69</v>
      </c>
      <c r="D64" s="136"/>
    </row>
    <row r="65" spans="2:5" ht="15" customHeight="1" x14ac:dyDescent="0.2">
      <c r="B65" s="154" t="s">
        <v>67</v>
      </c>
      <c r="C65" s="154" t="s">
        <v>70</v>
      </c>
      <c r="D65" s="136"/>
    </row>
    <row r="66" spans="2:5" ht="15" customHeight="1" x14ac:dyDescent="0.2">
      <c r="B66" s="136"/>
      <c r="C66" s="136"/>
      <c r="D66" s="136"/>
    </row>
    <row r="67" spans="2:5" ht="15" customHeight="1" x14ac:dyDescent="0.2">
      <c r="B67" s="510" t="s">
        <v>73</v>
      </c>
      <c r="C67" s="511"/>
      <c r="D67" s="136"/>
    </row>
    <row r="68" spans="2:5" ht="15" customHeight="1" x14ac:dyDescent="0.2">
      <c r="B68" s="137" t="s">
        <v>74</v>
      </c>
      <c r="C68" s="138"/>
      <c r="D68" s="136"/>
    </row>
    <row r="69" spans="2:5" ht="15" customHeight="1" x14ac:dyDescent="0.2">
      <c r="B69" s="156" t="s">
        <v>75</v>
      </c>
      <c r="C69" s="157"/>
      <c r="D69" s="136"/>
    </row>
    <row r="70" spans="2:5" ht="15" customHeight="1" x14ac:dyDescent="0.2">
      <c r="B70" s="139" t="s">
        <v>158</v>
      </c>
      <c r="C70" s="140"/>
      <c r="D70" s="136"/>
    </row>
    <row r="71" spans="2:5" x14ac:dyDescent="0.2">
      <c r="B71" s="141" t="s">
        <v>157</v>
      </c>
      <c r="C71" s="141"/>
      <c r="D71" s="141"/>
      <c r="E71" s="141"/>
    </row>
    <row r="72" spans="2:5" x14ac:dyDescent="0.2">
      <c r="B72" s="136"/>
      <c r="C72" s="136"/>
      <c r="D72" s="136"/>
    </row>
    <row r="74" spans="2:5" x14ac:dyDescent="0.2">
      <c r="B74" s="487" t="s">
        <v>166</v>
      </c>
      <c r="C74" s="488"/>
      <c r="D74" s="488"/>
      <c r="E74" s="489"/>
    </row>
    <row r="75" spans="2:5" x14ac:dyDescent="0.2">
      <c r="B75" s="492"/>
      <c r="C75" s="493"/>
      <c r="D75" s="493"/>
      <c r="E75" s="494"/>
    </row>
    <row r="76" spans="2:5" x14ac:dyDescent="0.2">
      <c r="B76" s="495"/>
      <c r="C76" s="496"/>
      <c r="D76" s="496"/>
      <c r="E76" s="497"/>
    </row>
    <row r="77" spans="2:5" x14ac:dyDescent="0.2">
      <c r="B77" s="495"/>
      <c r="C77" s="496"/>
      <c r="D77" s="496"/>
      <c r="E77" s="497"/>
    </row>
    <row r="78" spans="2:5" x14ac:dyDescent="0.2">
      <c r="B78" s="495"/>
      <c r="C78" s="496"/>
      <c r="D78" s="496"/>
      <c r="E78" s="497"/>
    </row>
    <row r="79" spans="2:5" x14ac:dyDescent="0.2">
      <c r="B79" s="495"/>
      <c r="C79" s="496"/>
      <c r="D79" s="496"/>
      <c r="E79" s="497"/>
    </row>
    <row r="80" spans="2:5" x14ac:dyDescent="0.2">
      <c r="B80" s="498"/>
      <c r="C80" s="499"/>
      <c r="D80" s="499"/>
      <c r="E80" s="500"/>
    </row>
  </sheetData>
  <sheetProtection selectLockedCells="1"/>
  <mergeCells count="60">
    <mergeCell ref="E3:H3"/>
    <mergeCell ref="B7:H7"/>
    <mergeCell ref="E27:H27"/>
    <mergeCell ref="E28:H28"/>
    <mergeCell ref="E30:H30"/>
    <mergeCell ref="E16:H16"/>
    <mergeCell ref="E17:H17"/>
    <mergeCell ref="E18:H18"/>
    <mergeCell ref="E19:H19"/>
    <mergeCell ref="E20:H20"/>
    <mergeCell ref="B30:D30"/>
    <mergeCell ref="B8:D8"/>
    <mergeCell ref="B24:D24"/>
    <mergeCell ref="B6:C6"/>
    <mergeCell ref="B4:C4"/>
    <mergeCell ref="E32:H32"/>
    <mergeCell ref="E21:H21"/>
    <mergeCell ref="E22:H22"/>
    <mergeCell ref="E24:H24"/>
    <mergeCell ref="E25:H25"/>
    <mergeCell ref="E26:H26"/>
    <mergeCell ref="B75:E80"/>
    <mergeCell ref="C56:D56"/>
    <mergeCell ref="C57:D57"/>
    <mergeCell ref="C55:D55"/>
    <mergeCell ref="D2:H2"/>
    <mergeCell ref="E8:H8"/>
    <mergeCell ref="E9:H9"/>
    <mergeCell ref="E10:H10"/>
    <mergeCell ref="E11:H11"/>
    <mergeCell ref="E12:H12"/>
    <mergeCell ref="E13:H13"/>
    <mergeCell ref="E14:H14"/>
    <mergeCell ref="E15:H15"/>
    <mergeCell ref="B67:C67"/>
    <mergeCell ref="C46:H46"/>
    <mergeCell ref="E31:H31"/>
    <mergeCell ref="B74:E74"/>
    <mergeCell ref="E33:H33"/>
    <mergeCell ref="E34:H34"/>
    <mergeCell ref="E35:H35"/>
    <mergeCell ref="E36:H36"/>
    <mergeCell ref="E37:H37"/>
    <mergeCell ref="E38:H38"/>
    <mergeCell ref="E48:H48"/>
    <mergeCell ref="E49:H49"/>
    <mergeCell ref="E50:H50"/>
    <mergeCell ref="E51:H51"/>
    <mergeCell ref="E52:H52"/>
    <mergeCell ref="B43:L43"/>
    <mergeCell ref="B44:L44"/>
    <mergeCell ref="B48:D48"/>
    <mergeCell ref="B54:D54"/>
    <mergeCell ref="B40:L40"/>
    <mergeCell ref="B60:C60"/>
    <mergeCell ref="E54:H54"/>
    <mergeCell ref="E55:H55"/>
    <mergeCell ref="E56:H56"/>
    <mergeCell ref="E57:H57"/>
    <mergeCell ref="B41:Q41"/>
  </mergeCells>
  <conditionalFormatting sqref="C38">
    <cfRule type="expression" dxfId="86" priority="13">
      <formula>$D$43="No"</formula>
    </cfRule>
  </conditionalFormatting>
  <conditionalFormatting sqref="C38">
    <cfRule type="expression" dxfId="85" priority="12">
      <formula>$D$33="No"</formula>
    </cfRule>
  </conditionalFormatting>
  <conditionalFormatting sqref="C38">
    <cfRule type="cellIs" dxfId="84" priority="9" operator="equal">
      <formula>"Not enough info"</formula>
    </cfRule>
    <cfRule type="cellIs" dxfId="83" priority="10" operator="equal">
      <formula>"No"</formula>
    </cfRule>
    <cfRule type="cellIs" dxfId="82" priority="11" operator="equal">
      <formula>"Yes"</formula>
    </cfRule>
  </conditionalFormatting>
  <conditionalFormatting sqref="C57">
    <cfRule type="expression" dxfId="81" priority="8">
      <formula>$D$43="No"</formula>
    </cfRule>
  </conditionalFormatting>
  <conditionalFormatting sqref="C57">
    <cfRule type="expression" dxfId="80" priority="7">
      <formula>$D$33="No"</formula>
    </cfRule>
  </conditionalFormatting>
  <conditionalFormatting sqref="C57">
    <cfRule type="cellIs" dxfId="79" priority="4" operator="equal">
      <formula>"Not enough info"</formula>
    </cfRule>
    <cfRule type="cellIs" dxfId="78" priority="5" operator="equal">
      <formula>"No"</formula>
    </cfRule>
    <cfRule type="cellIs" dxfId="77" priority="6" operator="equal">
      <formula>"Yes"</formula>
    </cfRule>
  </conditionalFormatting>
  <conditionalFormatting sqref="B41">
    <cfRule type="expression" dxfId="76" priority="1">
      <formula>$C$38="No"</formula>
    </cfRule>
  </conditionalFormatting>
  <dataValidations count="2">
    <dataValidation type="list" allowBlank="1" showInputMessage="1" showErrorMessage="1" sqref="C11" xr:uid="{7A43F87F-E0EE-4D35-8B71-97DE03107715}">
      <formula1>"Yes,No"</formula1>
    </dataValidation>
    <dataValidation type="list" allowBlank="1" showInputMessage="1" showErrorMessage="1" sqref="C32" xr:uid="{00000000-0002-0000-0100-000003000000}">
      <formula1>"N/A, NFPA 30, API 521"</formula1>
    </dataValidation>
  </dataValidations>
  <hyperlinks>
    <hyperlink ref="B46" r:id="rId1" xr:uid="{FEB22340-11BE-47C7-9E33-20BCAC84B22C}"/>
  </hyperlinks>
  <pageMargins left="0" right="0" top="0" bottom="0" header="0.11811023622047245" footer="0.11811023622047245"/>
  <pageSetup scale="84" orientation="portrait" blackAndWhite="1" r:id="rId2"/>
  <drawing r:id="rId3"/>
  <legacyDrawing r:id="rId4"/>
  <extLst>
    <ext xmlns:x14="http://schemas.microsoft.com/office/spreadsheetml/2009/9/main" uri="{78C0D931-6437-407d-A8EE-F0AAD7539E65}">
      <x14:conditionalFormattings>
        <x14:conditionalFormatting xmlns:xm="http://schemas.microsoft.com/office/excel/2006/main">
          <x14:cfRule type="expression" priority="18" id="{A9BC6D25-54AD-4ABD-BD36-64594E2D6A36}">
            <xm:f>Summary!$D$21="Relief Valve"</xm:f>
            <x14:dxf>
              <font>
                <color theme="0"/>
              </font>
              <fill>
                <patternFill>
                  <bgColor theme="0"/>
                </patternFill>
              </fill>
              <border>
                <left/>
                <right/>
                <top/>
                <bottom/>
                <vertical/>
                <horizontal/>
              </border>
            </x14:dxf>
          </x14:cfRule>
          <xm:sqref>B24:H28</xm:sqref>
        </x14:conditionalFormatting>
        <x14:conditionalFormatting xmlns:xm="http://schemas.microsoft.com/office/excel/2006/main">
          <x14:cfRule type="expression" priority="17" id="{53C9C458-7F1F-4A41-B1F2-780BA5AAE1D1}">
            <xm:f>Summary!$D$21="Relief Valve"</xm:f>
            <x14:dxf>
              <font>
                <color theme="0"/>
              </font>
              <fill>
                <patternFill>
                  <bgColor theme="0"/>
                </patternFill>
              </fill>
              <border>
                <left/>
                <right/>
                <top style="thin">
                  <color auto="1"/>
                </top>
                <bottom/>
                <vertical/>
                <horizontal/>
              </border>
            </x14:dxf>
          </x14:cfRule>
          <xm:sqref>B51:D51</xm:sqref>
        </x14:conditionalFormatting>
        <x14:conditionalFormatting xmlns:xm="http://schemas.microsoft.com/office/excel/2006/main">
          <x14:cfRule type="expression" priority="16" id="{E5CED7A4-B1A9-4AA8-84D1-9EA717878986}">
            <xm:f>Summary!$D$21="Relief Valve"</xm:f>
            <x14:dxf>
              <font>
                <color theme="0"/>
              </font>
              <fill>
                <patternFill>
                  <bgColor theme="0"/>
                </patternFill>
              </fill>
              <border>
                <left/>
                <right/>
                <top style="thin">
                  <color auto="1"/>
                </top>
                <bottom/>
                <vertical/>
                <horizontal/>
              </border>
            </x14:dxf>
          </x14:cfRule>
          <xm:sqref>B55:C55</xm:sqref>
        </x14:conditionalFormatting>
        <x14:conditionalFormatting xmlns:xm="http://schemas.microsoft.com/office/excel/2006/main">
          <x14:cfRule type="expression" priority="3" id="{C65D0272-F7F9-4DAA-914A-75F0FD132C08}">
            <xm:f>Summary!$D$21="Relief Valve"</xm:f>
            <x14:dxf>
              <border>
                <left/>
                <right/>
                <top style="thin">
                  <color auto="1"/>
                </top>
                <bottom/>
                <vertical/>
                <horizontal/>
              </border>
            </x14:dxf>
          </x14:cfRule>
          <xm:sqref>C55:D55</xm:sqref>
        </x14:conditionalFormatting>
        <x14:conditionalFormatting xmlns:xm="http://schemas.microsoft.com/office/excel/2006/main">
          <x14:cfRule type="expression" priority="2" id="{C06931FE-E8D7-4973-8E3C-2A58021B1BB7}">
            <xm:f>Summary!$D$21="Relief Valve"</xm:f>
            <x14:dxf>
              <border>
                <bottom style="thin">
                  <color auto="1"/>
                </bottom>
                <vertical/>
                <horizontal/>
              </border>
            </x14:dxf>
          </x14:cfRule>
          <xm:sqref>B50:D50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C9582-EB79-485B-99C5-DFAB1E65187A}">
  <sheetPr codeName="Sheet3">
    <pageSetUpPr fitToPage="1"/>
  </sheetPr>
  <dimension ref="B1:U76"/>
  <sheetViews>
    <sheetView showGridLines="0" tabSelected="1" topLeftCell="A19" zoomScaleNormal="100" workbookViewId="0">
      <selection activeCell="C41" sqref="C41"/>
    </sheetView>
  </sheetViews>
  <sheetFormatPr baseColWidth="10" defaultColWidth="8.83203125" defaultRowHeight="15" x14ac:dyDescent="0.2"/>
  <cols>
    <col min="1" max="1" width="2.83203125" style="230" customWidth="1"/>
    <col min="2" max="2" width="35.83203125" style="230" customWidth="1"/>
    <col min="3" max="3" width="16.5" style="230" customWidth="1"/>
    <col min="4" max="4" width="14.6640625" style="270" customWidth="1"/>
    <col min="5" max="5" width="12.6640625" style="288" customWidth="1"/>
    <col min="6" max="8" width="12.6640625" style="230" customWidth="1"/>
    <col min="9" max="9" width="8.5" style="230" customWidth="1"/>
    <col min="10" max="10" width="15" style="257" customWidth="1"/>
    <col min="11" max="16384" width="8.83203125" style="230"/>
  </cols>
  <sheetData>
    <row r="1" spans="2:16" ht="15" customHeight="1" x14ac:dyDescent="0.3">
      <c r="D1" s="24"/>
      <c r="E1" s="24"/>
      <c r="F1" s="24"/>
      <c r="J1" s="256"/>
    </row>
    <row r="2" spans="2:16" ht="100.5" customHeight="1" x14ac:dyDescent="0.2">
      <c r="B2" s="231"/>
      <c r="C2" s="232"/>
      <c r="D2" s="546" t="s">
        <v>131</v>
      </c>
      <c r="E2" s="546"/>
      <c r="F2" s="546"/>
      <c r="G2" s="546"/>
      <c r="H2" s="546"/>
    </row>
    <row r="3" spans="2:16" ht="14.25" customHeight="1" x14ac:dyDescent="0.2">
      <c r="B3" s="235" t="s">
        <v>160</v>
      </c>
      <c r="C3" s="204"/>
      <c r="D3" s="205" t="s">
        <v>161</v>
      </c>
      <c r="E3" s="547" t="s">
        <v>162</v>
      </c>
      <c r="F3" s="548"/>
      <c r="G3" s="548"/>
      <c r="H3" s="549"/>
    </row>
    <row r="4" spans="2:16" ht="14.25" customHeight="1" x14ac:dyDescent="0.2">
      <c r="B4" s="258" t="str">
        <f>IF(Summary!B4="","",Summary!B4)</f>
        <v/>
      </c>
      <c r="C4" s="259"/>
      <c r="D4" s="348" t="str">
        <f>IF(Summary!D4="","",Summary!D4)</f>
        <v/>
      </c>
      <c r="E4" s="202" t="s">
        <v>22</v>
      </c>
      <c r="F4" s="202" t="s">
        <v>23</v>
      </c>
      <c r="G4" s="202" t="s">
        <v>24</v>
      </c>
      <c r="H4" s="202" t="s">
        <v>1</v>
      </c>
    </row>
    <row r="5" spans="2:16" ht="14.25" customHeight="1" x14ac:dyDescent="0.2">
      <c r="B5" s="203" t="s">
        <v>1</v>
      </c>
      <c r="C5" s="204"/>
      <c r="D5" s="205" t="s">
        <v>23</v>
      </c>
      <c r="E5" s="349"/>
      <c r="F5" s="352"/>
      <c r="G5" s="350"/>
      <c r="H5" s="351"/>
    </row>
    <row r="6" spans="2:16" ht="14.25" customHeight="1" x14ac:dyDescent="0.2">
      <c r="B6" s="520" t="s">
        <v>2</v>
      </c>
      <c r="C6" s="521"/>
      <c r="D6" s="209" t="str">
        <f>IF(Summary!D6="","",Summary!D6)</f>
        <v/>
      </c>
      <c r="E6" s="349"/>
      <c r="F6" s="352"/>
      <c r="G6" s="351"/>
      <c r="H6" s="351"/>
    </row>
    <row r="7" spans="2:16" x14ac:dyDescent="0.2">
      <c r="B7" s="516" t="s">
        <v>188</v>
      </c>
      <c r="C7" s="516"/>
      <c r="D7" s="516"/>
      <c r="E7" s="516"/>
      <c r="F7" s="516"/>
      <c r="G7" s="516"/>
      <c r="H7" s="516"/>
      <c r="I7" s="30"/>
      <c r="J7" s="262"/>
    </row>
    <row r="8" spans="2:16" ht="15.5" customHeight="1" x14ac:dyDescent="0.2">
      <c r="B8" s="550" t="s">
        <v>102</v>
      </c>
      <c r="C8" s="551"/>
      <c r="D8" s="552"/>
      <c r="E8" s="524" t="s">
        <v>10</v>
      </c>
      <c r="F8" s="525"/>
      <c r="G8" s="525"/>
      <c r="H8" s="526"/>
    </row>
    <row r="9" spans="2:16" x14ac:dyDescent="0.2">
      <c r="B9" s="263" t="s">
        <v>1</v>
      </c>
      <c r="C9" s="264" t="s">
        <v>27</v>
      </c>
      <c r="D9" s="265" t="s">
        <v>32</v>
      </c>
      <c r="E9" s="530"/>
      <c r="F9" s="531"/>
      <c r="G9" s="531"/>
      <c r="H9" s="532"/>
    </row>
    <row r="10" spans="2:16" x14ac:dyDescent="0.2">
      <c r="B10" s="145" t="s">
        <v>30</v>
      </c>
      <c r="C10" s="151" t="str">
        <f>IF(Summary!D14="","",Summary!D14)</f>
        <v/>
      </c>
      <c r="D10" s="266" t="s">
        <v>43</v>
      </c>
      <c r="E10" s="531"/>
      <c r="F10" s="531"/>
      <c r="G10" s="531"/>
      <c r="H10" s="532"/>
    </row>
    <row r="11" spans="2:16" x14ac:dyDescent="0.2">
      <c r="B11" s="146" t="s">
        <v>165</v>
      </c>
      <c r="C11" s="122"/>
      <c r="D11" s="267" t="s">
        <v>190</v>
      </c>
      <c r="E11" s="531"/>
      <c r="F11" s="531"/>
      <c r="G11" s="531"/>
      <c r="H11" s="532"/>
    </row>
    <row r="12" spans="2:16" x14ac:dyDescent="0.2">
      <c r="B12" s="268" t="s">
        <v>147</v>
      </c>
      <c r="C12" s="269" t="str">
        <f>IF(OR(C10="",C11=""),"",C10*C11)</f>
        <v/>
      </c>
      <c r="D12" s="267" t="s">
        <v>43</v>
      </c>
      <c r="E12" s="531"/>
      <c r="F12" s="531"/>
      <c r="G12" s="531"/>
      <c r="H12" s="532"/>
    </row>
    <row r="13" spans="2:16" x14ac:dyDescent="0.2">
      <c r="B13" s="146" t="str">
        <f>IF(Summary!$D$21="Relief Valve","ASME Set Pressure","ASME Burst Pressure ")</f>
        <v xml:space="preserve">ASME Burst Pressure </v>
      </c>
      <c r="C13" s="150" t="str">
        <f>IF(Summary!$D$22="","",Summary!$D$22)</f>
        <v/>
      </c>
      <c r="D13" s="267" t="s">
        <v>43</v>
      </c>
      <c r="E13" s="531"/>
      <c r="F13" s="531"/>
      <c r="G13" s="531"/>
      <c r="H13" s="532"/>
      <c r="I13" s="270"/>
    </row>
    <row r="14" spans="2:16" x14ac:dyDescent="0.2">
      <c r="B14" s="147" t="s">
        <v>148</v>
      </c>
      <c r="C14" s="271" t="str">
        <f>IF(Summary!D21="Relief Valve",IF(OR(C12="",C13=""),"",C12-C13),IF(OR(C12="",C20=""),"",C12-C20))</f>
        <v/>
      </c>
      <c r="D14" s="272" t="s">
        <v>43</v>
      </c>
      <c r="E14" s="534"/>
      <c r="F14" s="534"/>
      <c r="G14" s="534"/>
      <c r="H14" s="535"/>
    </row>
    <row r="15" spans="2:16" ht="15" customHeight="1" x14ac:dyDescent="0.2">
      <c r="B15"/>
      <c r="C15"/>
      <c r="D15" s="273"/>
      <c r="E15" s="274"/>
      <c r="F15" s="274"/>
      <c r="G15" s="274"/>
    </row>
    <row r="16" spans="2:16" ht="15" customHeight="1" x14ac:dyDescent="0.2">
      <c r="B16" s="539" t="s">
        <v>122</v>
      </c>
      <c r="C16" s="539"/>
      <c r="D16" s="540"/>
      <c r="E16" s="524" t="s">
        <v>10</v>
      </c>
      <c r="F16" s="525"/>
      <c r="G16" s="525"/>
      <c r="H16" s="526"/>
      <c r="I16" s="24"/>
      <c r="J16" s="275"/>
      <c r="K16" s="24"/>
      <c r="L16" s="24"/>
      <c r="M16" s="24"/>
      <c r="N16" s="24"/>
      <c r="O16" s="24"/>
      <c r="P16" s="24"/>
    </row>
    <row r="17" spans="2:16" ht="15" customHeight="1" x14ac:dyDescent="0.2">
      <c r="B17" s="276" t="s">
        <v>1</v>
      </c>
      <c r="C17" s="276" t="s">
        <v>27</v>
      </c>
      <c r="D17" s="277" t="s">
        <v>32</v>
      </c>
      <c r="E17" s="530"/>
      <c r="F17" s="531"/>
      <c r="G17" s="531"/>
      <c r="H17" s="532"/>
      <c r="I17" s="24"/>
      <c r="J17" s="275"/>
      <c r="K17" s="24"/>
      <c r="L17" s="24"/>
      <c r="M17" s="24"/>
      <c r="N17" s="24"/>
      <c r="O17" s="24"/>
      <c r="P17" s="24"/>
    </row>
    <row r="18" spans="2:16" ht="15" customHeight="1" x14ac:dyDescent="0.2">
      <c r="B18" s="97" t="s">
        <v>127</v>
      </c>
      <c r="C18" s="124" t="str">
        <f>IF(Summary!D27="","",Summary!D27)</f>
        <v/>
      </c>
      <c r="D18" s="278"/>
      <c r="E18" s="530"/>
      <c r="F18" s="531"/>
      <c r="G18" s="531"/>
      <c r="H18" s="532"/>
      <c r="I18" s="24"/>
      <c r="L18" s="279"/>
      <c r="N18" s="24"/>
      <c r="O18" s="24"/>
      <c r="P18" s="24"/>
    </row>
    <row r="19" spans="2:16" ht="15" customHeight="1" x14ac:dyDescent="0.2">
      <c r="B19" s="148" t="s">
        <v>126</v>
      </c>
      <c r="C19" s="149" t="str">
        <f>IF(Summary!D28="","",Summary!D28)</f>
        <v/>
      </c>
      <c r="D19" s="267"/>
      <c r="E19" s="530"/>
      <c r="F19" s="531"/>
      <c r="G19" s="531"/>
      <c r="H19" s="532"/>
      <c r="I19" s="24"/>
      <c r="L19" s="136"/>
      <c r="N19" s="24"/>
      <c r="O19" s="24"/>
      <c r="P19" s="24"/>
    </row>
    <row r="20" spans="2:16" ht="15" customHeight="1" x14ac:dyDescent="0.2">
      <c r="B20" s="123" t="s">
        <v>189</v>
      </c>
      <c r="C20" s="26" t="str">
        <f>IF(OR(C16="",C18="",C19="",Summary!D29=""),"",C13*(1+C18)*(1+C19)*Summary!D29)</f>
        <v/>
      </c>
      <c r="D20" s="280" t="s">
        <v>43</v>
      </c>
      <c r="E20" s="533"/>
      <c r="F20" s="534"/>
      <c r="G20" s="534"/>
      <c r="H20" s="535"/>
      <c r="I20" s="24"/>
      <c r="L20" s="136"/>
      <c r="N20" s="24"/>
      <c r="O20" s="24"/>
      <c r="P20" s="24"/>
    </row>
    <row r="21" spans="2:16" ht="15" customHeight="1" x14ac:dyDescent="0.2">
      <c r="B21" s="543" t="s">
        <v>200</v>
      </c>
      <c r="C21" s="543"/>
      <c r="D21" s="543"/>
      <c r="E21" s="543"/>
      <c r="F21" s="543"/>
      <c r="G21" s="543"/>
      <c r="H21" s="543"/>
      <c r="I21" s="24"/>
      <c r="L21" s="136"/>
      <c r="N21" s="24"/>
      <c r="O21" s="24"/>
      <c r="P21" s="24"/>
    </row>
    <row r="22" spans="2:16" ht="15" customHeight="1" x14ac:dyDescent="0.2">
      <c r="B22" s="544"/>
      <c r="C22" s="544"/>
      <c r="D22" s="544"/>
      <c r="E22" s="544"/>
      <c r="F22" s="544"/>
      <c r="G22" s="544"/>
      <c r="H22" s="544"/>
      <c r="I22" s="24"/>
      <c r="L22" s="136"/>
      <c r="N22" s="24"/>
      <c r="O22" s="24"/>
      <c r="P22" s="24"/>
    </row>
    <row r="23" spans="2:16" ht="15" customHeight="1" x14ac:dyDescent="0.2">
      <c r="B23" s="544"/>
      <c r="C23" s="544"/>
      <c r="D23" s="544"/>
      <c r="E23" s="544"/>
      <c r="F23" s="544"/>
      <c r="G23" s="544"/>
      <c r="H23" s="544"/>
      <c r="I23" s="24"/>
      <c r="L23" s="136"/>
      <c r="N23" s="24"/>
      <c r="O23" s="24"/>
      <c r="P23" s="24"/>
    </row>
    <row r="24" spans="2:16" ht="15" customHeight="1" x14ac:dyDescent="0.2">
      <c r="B24" s="544"/>
      <c r="C24" s="544"/>
      <c r="D24" s="544"/>
      <c r="E24" s="544"/>
      <c r="F24" s="544"/>
      <c r="G24" s="544"/>
      <c r="H24" s="544"/>
      <c r="I24" s="24"/>
      <c r="L24" s="136"/>
      <c r="N24" s="24"/>
      <c r="O24" s="24"/>
      <c r="P24" s="24"/>
    </row>
    <row r="25" spans="2:16" ht="15" customHeight="1" x14ac:dyDescent="0.2">
      <c r="B25" s="545"/>
      <c r="C25" s="545"/>
      <c r="D25" s="545"/>
      <c r="E25" s="545"/>
      <c r="F25" s="545"/>
      <c r="G25" s="545"/>
      <c r="H25" s="545"/>
      <c r="I25" s="24"/>
      <c r="L25" s="136"/>
      <c r="N25" s="24"/>
      <c r="O25" s="24"/>
      <c r="P25" s="24"/>
    </row>
    <row r="26" spans="2:16" ht="15" customHeight="1" x14ac:dyDescent="0.2">
      <c r="B26" s="524" t="s">
        <v>199</v>
      </c>
      <c r="C26" s="525"/>
      <c r="D26" s="526"/>
      <c r="E26" s="536" t="s">
        <v>10</v>
      </c>
      <c r="F26" s="537"/>
      <c r="G26" s="537"/>
      <c r="H26" s="538"/>
      <c r="I26" s="24"/>
      <c r="L26" s="136"/>
      <c r="N26" s="24"/>
      <c r="O26" s="24"/>
      <c r="P26" s="24"/>
    </row>
    <row r="27" spans="2:16" ht="15" customHeight="1" x14ac:dyDescent="0.2">
      <c r="B27" s="182" t="s">
        <v>198</v>
      </c>
      <c r="C27" s="254" t="s">
        <v>7</v>
      </c>
      <c r="D27" s="281"/>
      <c r="E27" s="527"/>
      <c r="F27" s="528"/>
      <c r="G27" s="528"/>
      <c r="H27" s="529"/>
      <c r="I27" s="24"/>
      <c r="L27" s="136"/>
      <c r="N27" s="24"/>
      <c r="O27" s="24"/>
      <c r="P27" s="24"/>
    </row>
    <row r="28" spans="2:16" ht="15" hidden="1" customHeight="1" x14ac:dyDescent="0.2">
      <c r="B28" s="183" t="s">
        <v>25</v>
      </c>
      <c r="C28" s="255"/>
      <c r="D28" s="282" t="s">
        <v>76</v>
      </c>
      <c r="E28" s="530"/>
      <c r="F28" s="531"/>
      <c r="G28" s="531"/>
      <c r="H28" s="532"/>
      <c r="I28" s="24"/>
      <c r="L28" s="136"/>
      <c r="N28" s="24"/>
      <c r="O28" s="24"/>
      <c r="P28" s="24"/>
    </row>
    <row r="29" spans="2:16" ht="15" hidden="1" customHeight="1" x14ac:dyDescent="0.2">
      <c r="B29" s="283" t="s">
        <v>35</v>
      </c>
      <c r="C29" s="152" t="str">
        <f>IF(C28="","",C28/0.9)</f>
        <v/>
      </c>
      <c r="D29" s="284" t="s">
        <v>76</v>
      </c>
      <c r="E29" s="530"/>
      <c r="F29" s="531"/>
      <c r="G29" s="531"/>
      <c r="H29" s="532"/>
      <c r="I29" s="24"/>
      <c r="L29" s="136"/>
      <c r="N29" s="24"/>
      <c r="O29" s="24"/>
      <c r="P29" s="24"/>
    </row>
    <row r="30" spans="2:16" ht="15" hidden="1" customHeight="1" x14ac:dyDescent="0.2">
      <c r="B30" s="283" t="s">
        <v>137</v>
      </c>
      <c r="C30" s="285" t="str">
        <f>IF(C27="No","",IF(C29="","",70.5*C29*86/VLOOKUP("Nitrogen",Fluids!B2:E23,4,FALSE)))</f>
        <v/>
      </c>
      <c r="D30" s="284" t="s">
        <v>138</v>
      </c>
      <c r="E30" s="530"/>
      <c r="F30" s="531"/>
      <c r="G30" s="531"/>
      <c r="H30" s="532"/>
      <c r="I30" s="24"/>
      <c r="L30" s="136"/>
      <c r="N30" s="24"/>
      <c r="O30" s="24"/>
      <c r="P30" s="24"/>
    </row>
    <row r="31" spans="2:16" ht="15" hidden="1" customHeight="1" x14ac:dyDescent="0.2">
      <c r="B31" s="286" t="s">
        <v>182</v>
      </c>
      <c r="C31" s="175" t="str">
        <f>IF(C30="","Not enough info",IF(MAX(C30,C46,'Case 1 - External Fire'!C37,'Case 3 - Split Exchanger Tube'!C34,'Case 4 - Liquid Overfill'!C31)=C30,"Yes","No"))</f>
        <v>Not enough info</v>
      </c>
      <c r="D31" s="287"/>
      <c r="E31" s="533"/>
      <c r="F31" s="534"/>
      <c r="G31" s="534"/>
      <c r="H31" s="535"/>
      <c r="I31" s="24"/>
      <c r="L31" s="136"/>
      <c r="N31" s="24"/>
      <c r="O31" s="24"/>
      <c r="P31" s="24"/>
    </row>
    <row r="32" spans="2:16" ht="15" customHeight="1" x14ac:dyDescent="0.2">
      <c r="I32" s="24"/>
      <c r="N32" s="24"/>
      <c r="O32" s="24"/>
      <c r="P32" s="24"/>
    </row>
    <row r="33" spans="2:16" ht="15" customHeight="1" x14ac:dyDescent="0.2">
      <c r="B33" s="524" t="s">
        <v>120</v>
      </c>
      <c r="C33" s="525"/>
      <c r="D33" s="526"/>
      <c r="E33" s="524" t="s">
        <v>10</v>
      </c>
      <c r="F33" s="525"/>
      <c r="G33" s="525"/>
      <c r="H33" s="526"/>
      <c r="I33" s="24"/>
      <c r="J33" s="275"/>
      <c r="K33" s="24"/>
      <c r="L33" s="24"/>
      <c r="M33" s="24"/>
      <c r="N33" s="24"/>
      <c r="O33" s="24"/>
      <c r="P33" s="24"/>
    </row>
    <row r="34" spans="2:16" ht="15" customHeight="1" x14ac:dyDescent="0.2">
      <c r="B34" s="277" t="s">
        <v>1</v>
      </c>
      <c r="C34" s="264" t="s">
        <v>27</v>
      </c>
      <c r="D34" s="289" t="s">
        <v>32</v>
      </c>
      <c r="E34" s="557"/>
      <c r="F34" s="541"/>
      <c r="G34" s="541"/>
      <c r="H34" s="542"/>
      <c r="I34" s="24"/>
      <c r="J34" s="275"/>
      <c r="K34" s="24"/>
      <c r="L34" s="24"/>
      <c r="M34" s="24"/>
      <c r="N34" s="24"/>
      <c r="O34" s="24"/>
      <c r="P34" s="24"/>
    </row>
    <row r="35" spans="2:16" ht="15" customHeight="1" x14ac:dyDescent="0.2">
      <c r="B35" s="290" t="s">
        <v>89</v>
      </c>
      <c r="C35" s="331"/>
      <c r="D35" s="290"/>
      <c r="E35" s="541"/>
      <c r="F35" s="541"/>
      <c r="G35" s="541"/>
      <c r="H35" s="542"/>
      <c r="L35" s="24"/>
      <c r="M35" s="24"/>
      <c r="N35" s="24"/>
      <c r="O35" s="24"/>
      <c r="P35" s="24"/>
    </row>
    <row r="36" spans="2:16" ht="15" customHeight="1" x14ac:dyDescent="0.2">
      <c r="B36" s="284" t="s">
        <v>87</v>
      </c>
      <c r="C36" s="253"/>
      <c r="D36" s="284" t="s">
        <v>43</v>
      </c>
      <c r="E36" s="541"/>
      <c r="F36" s="541"/>
      <c r="G36" s="541"/>
      <c r="H36" s="542"/>
      <c r="L36" s="24"/>
      <c r="M36" s="24"/>
      <c r="N36" s="24"/>
      <c r="O36" s="24"/>
      <c r="P36" s="24"/>
    </row>
    <row r="37" spans="2:16" ht="15" customHeight="1" x14ac:dyDescent="0.2">
      <c r="B37" s="284" t="s">
        <v>88</v>
      </c>
      <c r="C37" s="291" t="str">
        <f>Summary!D66</f>
        <v/>
      </c>
      <c r="D37" s="292" t="s">
        <v>43</v>
      </c>
      <c r="E37" s="541"/>
      <c r="F37" s="541"/>
      <c r="G37" s="541"/>
      <c r="H37" s="542"/>
      <c r="L37" s="24"/>
      <c r="M37" s="24"/>
      <c r="N37" s="24"/>
      <c r="O37" s="24"/>
      <c r="P37" s="24"/>
    </row>
    <row r="38" spans="2:16" ht="15" customHeight="1" x14ac:dyDescent="0.2">
      <c r="B38" s="284" t="s">
        <v>87</v>
      </c>
      <c r="C38" s="293" t="str">
        <f>IF(C36="","",C36+14.7)</f>
        <v/>
      </c>
      <c r="D38" s="284" t="s">
        <v>48</v>
      </c>
      <c r="E38" s="541"/>
      <c r="F38" s="541"/>
      <c r="G38" s="541"/>
      <c r="H38" s="542"/>
    </row>
    <row r="39" spans="2:16" ht="15" customHeight="1" x14ac:dyDescent="0.2">
      <c r="B39" s="284" t="s">
        <v>88</v>
      </c>
      <c r="C39" s="293" t="str">
        <f>IF(C37="","",C37+14.7)</f>
        <v/>
      </c>
      <c r="D39" s="284" t="s">
        <v>48</v>
      </c>
      <c r="E39" s="541"/>
      <c r="F39" s="541"/>
      <c r="G39" s="541"/>
      <c r="H39" s="542"/>
    </row>
    <row r="40" spans="2:16" ht="15" customHeight="1" x14ac:dyDescent="0.2">
      <c r="B40" s="284" t="s">
        <v>83</v>
      </c>
      <c r="C40" s="293" t="str">
        <f>IF(OR(C38="",C39=""),"",C38-C39)</f>
        <v/>
      </c>
      <c r="D40" s="284" t="s">
        <v>48</v>
      </c>
      <c r="E40" s="541"/>
      <c r="F40" s="541"/>
      <c r="G40" s="541"/>
      <c r="H40" s="542"/>
    </row>
    <row r="41" spans="2:16" ht="15" customHeight="1" x14ac:dyDescent="0.2">
      <c r="B41" s="284" t="s">
        <v>90</v>
      </c>
      <c r="C41" s="294" t="str">
        <f>IF(OR(C38="",C39=""),"",IF(C39&gt;(C38*0.53),"Yes","No"))</f>
        <v/>
      </c>
      <c r="D41" s="284"/>
      <c r="E41" s="541"/>
      <c r="F41" s="541"/>
      <c r="G41" s="541"/>
      <c r="H41" s="542"/>
      <c r="J41" s="554" t="s">
        <v>93</v>
      </c>
      <c r="K41" s="555"/>
      <c r="L41" s="555"/>
      <c r="M41" s="556"/>
    </row>
    <row r="42" spans="2:16" ht="15" customHeight="1" x14ac:dyDescent="0.2">
      <c r="B42" s="284" t="s">
        <v>49</v>
      </c>
      <c r="C42" s="253"/>
      <c r="D42" s="284"/>
      <c r="E42" s="541"/>
      <c r="F42" s="541"/>
      <c r="G42" s="541"/>
      <c r="H42" s="542"/>
      <c r="J42" s="295" t="s">
        <v>91</v>
      </c>
      <c r="K42" s="553" t="s">
        <v>86</v>
      </c>
      <c r="L42" s="553"/>
      <c r="M42" s="553"/>
    </row>
    <row r="43" spans="2:16" ht="15" customHeight="1" x14ac:dyDescent="0.2">
      <c r="B43" s="296" t="s">
        <v>50</v>
      </c>
      <c r="C43" s="331"/>
      <c r="D43" s="296" t="s">
        <v>106</v>
      </c>
      <c r="E43" s="541"/>
      <c r="F43" s="541"/>
      <c r="G43" s="541"/>
      <c r="H43" s="542"/>
      <c r="J43" s="295" t="s">
        <v>92</v>
      </c>
      <c r="K43" s="553" t="s">
        <v>85</v>
      </c>
      <c r="L43" s="553"/>
      <c r="M43" s="553"/>
    </row>
    <row r="44" spans="2:16" ht="15" customHeight="1" x14ac:dyDescent="0.2">
      <c r="B44" s="297" t="s">
        <v>25</v>
      </c>
      <c r="C44" s="298" t="str">
        <f>IF(OR(C39="",C38="",C43=""),"",IF(C39&gt;(C38*0.53),C43*(C35)*((61)*(SQRT((C38-C39)*(C39))))/(SQRT(C42)),C43*(C35*30.5*C38)/(SQRT(C42))))</f>
        <v/>
      </c>
      <c r="D44" s="290" t="s">
        <v>76</v>
      </c>
      <c r="E44" s="558"/>
      <c r="F44" s="558"/>
      <c r="G44" s="558"/>
      <c r="H44" s="559"/>
    </row>
    <row r="45" spans="2:16" ht="15" customHeight="1" x14ac:dyDescent="0.2">
      <c r="B45" s="283" t="s">
        <v>35</v>
      </c>
      <c r="C45" s="152" t="str">
        <f>IF(C44="","",C44/0.9)</f>
        <v/>
      </c>
      <c r="D45" s="284" t="s">
        <v>76</v>
      </c>
      <c r="E45" s="541"/>
      <c r="F45" s="541"/>
      <c r="G45" s="541"/>
      <c r="H45" s="542"/>
    </row>
    <row r="46" spans="2:16" ht="15" customHeight="1" x14ac:dyDescent="0.2">
      <c r="B46" s="283" t="s">
        <v>137</v>
      </c>
      <c r="C46" s="285" t="str">
        <f>IF(C27="Yes","",IF(C45="","",70.5*C45*86/VLOOKUP("Nitrogen",Fluids!B2:E23,4,FALSE)))</f>
        <v/>
      </c>
      <c r="D46" s="284" t="s">
        <v>138</v>
      </c>
      <c r="E46" s="541"/>
      <c r="F46" s="541"/>
      <c r="G46" s="541"/>
      <c r="H46" s="542"/>
    </row>
    <row r="47" spans="2:16" ht="15" customHeight="1" x14ac:dyDescent="0.2">
      <c r="B47" s="286" t="s">
        <v>182</v>
      </c>
      <c r="C47" s="175" t="str">
        <f>IF(C46="","Not enough info",IF(MAX(C30,C46,'Case 1 - External Fire'!C37,'Case 3 - Split Exchanger Tube'!C34,'Case 4 - Liquid Overfill'!C31)=C46,"Yes","No"))</f>
        <v>Not enough info</v>
      </c>
      <c r="D47" s="287"/>
      <c r="E47" s="563"/>
      <c r="F47" s="563"/>
      <c r="G47" s="563"/>
      <c r="H47" s="564"/>
    </row>
    <row r="48" spans="2:16" ht="15" customHeight="1" x14ac:dyDescent="0.2"/>
    <row r="49" spans="2:21" x14ac:dyDescent="0.2">
      <c r="B49" s="474" t="s">
        <v>154</v>
      </c>
      <c r="C49" s="474"/>
      <c r="D49" s="474"/>
      <c r="E49" s="474"/>
      <c r="F49" s="474"/>
      <c r="G49" s="474"/>
      <c r="H49" s="474"/>
      <c r="I49" s="474"/>
      <c r="J49" s="474"/>
      <c r="K49" s="474"/>
      <c r="L49" s="474"/>
    </row>
    <row r="50" spans="2:21" x14ac:dyDescent="0.2">
      <c r="B50" s="54" t="s">
        <v>172</v>
      </c>
      <c r="C50" s="54"/>
      <c r="D50" s="54"/>
      <c r="E50" s="54"/>
      <c r="F50" s="54"/>
      <c r="G50" s="54"/>
      <c r="H50" s="54"/>
      <c r="I50" s="54"/>
      <c r="J50" s="54"/>
      <c r="K50" s="54"/>
      <c r="L50" s="54"/>
      <c r="M50" s="54"/>
      <c r="N50" s="54"/>
      <c r="O50" s="54"/>
      <c r="P50" s="54"/>
      <c r="Q50" s="54"/>
      <c r="R50" s="288"/>
      <c r="S50" s="288"/>
      <c r="T50" s="288"/>
      <c r="U50" s="288"/>
    </row>
    <row r="51" spans="2:21" x14ac:dyDescent="0.2">
      <c r="B51" s="54" t="s">
        <v>174</v>
      </c>
      <c r="C51" s="54"/>
      <c r="D51" s="54"/>
      <c r="E51" s="54"/>
      <c r="F51" s="54"/>
      <c r="G51" s="54"/>
      <c r="H51" s="54"/>
      <c r="I51" s="54"/>
      <c r="J51" s="54"/>
      <c r="K51" s="54"/>
      <c r="L51" s="54"/>
      <c r="M51" s="54"/>
      <c r="N51" s="54"/>
      <c r="O51" s="54"/>
      <c r="P51" s="54"/>
      <c r="Q51" s="288"/>
      <c r="R51" s="288"/>
      <c r="S51" s="288"/>
    </row>
    <row r="52" spans="2:21" x14ac:dyDescent="0.2">
      <c r="B52" s="474" t="s">
        <v>168</v>
      </c>
      <c r="C52" s="474"/>
      <c r="D52" s="474"/>
      <c r="E52" s="474"/>
      <c r="F52" s="474"/>
      <c r="G52" s="474"/>
      <c r="H52" s="474"/>
      <c r="I52" s="474"/>
      <c r="J52" s="474"/>
      <c r="K52" s="474"/>
      <c r="L52" s="474"/>
    </row>
    <row r="53" spans="2:21" x14ac:dyDescent="0.2">
      <c r="B53" s="491" t="s">
        <v>173</v>
      </c>
      <c r="C53" s="491"/>
      <c r="D53" s="491"/>
      <c r="E53" s="491"/>
      <c r="F53" s="491"/>
      <c r="G53" s="491"/>
      <c r="H53" s="491"/>
      <c r="I53" s="491"/>
      <c r="J53" s="491"/>
      <c r="K53" s="491"/>
      <c r="L53" s="491"/>
    </row>
    <row r="54" spans="2:21" x14ac:dyDescent="0.2">
      <c r="B54" s="24"/>
      <c r="C54" s="24"/>
      <c r="D54" s="24"/>
      <c r="E54" s="24"/>
      <c r="F54" s="24"/>
      <c r="G54" s="24"/>
      <c r="H54" s="24"/>
      <c r="I54" s="24"/>
      <c r="J54" s="24"/>
      <c r="K54" s="24"/>
      <c r="L54" s="24"/>
    </row>
    <row r="55" spans="2:21" x14ac:dyDescent="0.2">
      <c r="B55" s="339" t="s">
        <v>99</v>
      </c>
      <c r="C55" s="512" t="s">
        <v>105</v>
      </c>
      <c r="D55" s="512"/>
      <c r="E55" s="512"/>
      <c r="F55" s="512"/>
      <c r="G55" s="512"/>
      <c r="H55" s="512"/>
      <c r="I55" s="24"/>
      <c r="J55" s="24"/>
      <c r="K55" s="24"/>
      <c r="L55" s="24"/>
    </row>
    <row r="57" spans="2:21" x14ac:dyDescent="0.2">
      <c r="B57" s="524" t="s">
        <v>155</v>
      </c>
      <c r="C57" s="525"/>
      <c r="D57" s="526"/>
      <c r="E57" s="536" t="s">
        <v>10</v>
      </c>
      <c r="F57" s="537"/>
      <c r="G57" s="537"/>
      <c r="H57" s="538"/>
      <c r="J57" s="230"/>
    </row>
    <row r="58" spans="2:21" x14ac:dyDescent="0.2">
      <c r="B58" s="277" t="s">
        <v>1</v>
      </c>
      <c r="C58" s="264" t="s">
        <v>27</v>
      </c>
      <c r="D58" s="265" t="s">
        <v>32</v>
      </c>
      <c r="E58" s="527"/>
      <c r="F58" s="528"/>
      <c r="G58" s="528"/>
      <c r="H58" s="529"/>
      <c r="J58" s="230"/>
    </row>
    <row r="59" spans="2:21" x14ac:dyDescent="0.2">
      <c r="B59" s="125" t="s">
        <v>37</v>
      </c>
      <c r="C59" s="128"/>
      <c r="D59" s="332" t="s">
        <v>43</v>
      </c>
      <c r="E59" s="530"/>
      <c r="F59" s="531"/>
      <c r="G59" s="531"/>
      <c r="H59" s="532"/>
      <c r="J59" s="230"/>
    </row>
    <row r="60" spans="2:21" ht="15" customHeight="1" x14ac:dyDescent="0.2">
      <c r="B60" s="159" t="s">
        <v>39</v>
      </c>
      <c r="C60" s="127"/>
      <c r="D60" s="299" t="s">
        <v>43</v>
      </c>
      <c r="E60" s="530"/>
      <c r="F60" s="531"/>
      <c r="G60" s="531"/>
      <c r="H60" s="532"/>
      <c r="J60" s="230"/>
    </row>
    <row r="61" spans="2:21" ht="15" customHeight="1" x14ac:dyDescent="0.2">
      <c r="B61" s="99" t="s">
        <v>169</v>
      </c>
      <c r="C61" s="154" t="str">
        <f>IF(Summary!D21="Relief Valve",IF(OR(C59="",C13=""),"",C13+C59),IF(OR(C20="",C59=""),"",C59+C20))</f>
        <v/>
      </c>
      <c r="D61" s="252" t="s">
        <v>43</v>
      </c>
      <c r="E61" s="533"/>
      <c r="F61" s="534"/>
      <c r="G61" s="534"/>
      <c r="H61" s="535"/>
      <c r="J61" s="230"/>
    </row>
    <row r="62" spans="2:21" x14ac:dyDescent="0.2">
      <c r="D62" s="230"/>
      <c r="E62" s="230"/>
      <c r="J62" s="230"/>
    </row>
    <row r="63" spans="2:21" x14ac:dyDescent="0.2">
      <c r="B63" s="539" t="s">
        <v>159</v>
      </c>
      <c r="C63" s="539"/>
      <c r="D63" s="539"/>
      <c r="E63" s="524" t="s">
        <v>10</v>
      </c>
      <c r="F63" s="525"/>
      <c r="G63" s="525"/>
      <c r="H63" s="526"/>
    </row>
    <row r="64" spans="2:21" ht="15" customHeight="1" x14ac:dyDescent="0.2">
      <c r="B64" s="100" t="s">
        <v>170</v>
      </c>
      <c r="C64" s="567" t="str">
        <f>IF(OR(C60="",C12=""),"",IF(C60&lt;C12,"Yes","No"))</f>
        <v/>
      </c>
      <c r="D64" s="568"/>
      <c r="E64" s="527"/>
      <c r="F64" s="528"/>
      <c r="G64" s="528"/>
      <c r="H64" s="529"/>
      <c r="J64" s="230"/>
    </row>
    <row r="65" spans="2:10" ht="15" customHeight="1" x14ac:dyDescent="0.2">
      <c r="B65" s="169" t="s">
        <v>171</v>
      </c>
      <c r="C65" s="565" t="str">
        <f>IF(C61="","",IF(C61&lt;C12,"Yes","No"))</f>
        <v/>
      </c>
      <c r="D65" s="566"/>
      <c r="E65" s="530"/>
      <c r="F65" s="531"/>
      <c r="G65" s="531"/>
      <c r="H65" s="532"/>
    </row>
    <row r="66" spans="2:10" x14ac:dyDescent="0.2">
      <c r="B66" s="68" t="s">
        <v>107</v>
      </c>
      <c r="C66" s="503" t="str">
        <f>IF(AND(Summary!D21="Relief Valve",C65="Yes"),"Yes",IF(C65="","Not enough info",IF(AND(C65="Yes",C64="Yes"),"Yes","No")))</f>
        <v>Not enough info</v>
      </c>
      <c r="D66" s="504"/>
      <c r="E66" s="533"/>
      <c r="F66" s="534"/>
      <c r="G66" s="534"/>
      <c r="H66" s="535"/>
    </row>
    <row r="67" spans="2:10" x14ac:dyDescent="0.2">
      <c r="H67" s="24"/>
      <c r="I67" s="24"/>
      <c r="J67" s="275"/>
    </row>
    <row r="70" spans="2:10" x14ac:dyDescent="0.2">
      <c r="B70" s="560" t="s">
        <v>166</v>
      </c>
      <c r="C70" s="561"/>
      <c r="D70" s="561"/>
      <c r="E70" s="562"/>
    </row>
    <row r="71" spans="2:10" x14ac:dyDescent="0.2">
      <c r="B71" s="492"/>
      <c r="C71" s="493"/>
      <c r="D71" s="493"/>
      <c r="E71" s="494"/>
    </row>
    <row r="72" spans="2:10" x14ac:dyDescent="0.2">
      <c r="B72" s="495"/>
      <c r="C72" s="496"/>
      <c r="D72" s="496"/>
      <c r="E72" s="497"/>
    </row>
    <row r="73" spans="2:10" x14ac:dyDescent="0.2">
      <c r="B73" s="495"/>
      <c r="C73" s="496"/>
      <c r="D73" s="496"/>
      <c r="E73" s="497"/>
    </row>
    <row r="74" spans="2:10" x14ac:dyDescent="0.2">
      <c r="B74" s="495"/>
      <c r="C74" s="496"/>
      <c r="D74" s="496"/>
      <c r="E74" s="497"/>
    </row>
    <row r="75" spans="2:10" x14ac:dyDescent="0.2">
      <c r="B75" s="495"/>
      <c r="C75" s="496"/>
      <c r="D75" s="496"/>
      <c r="E75" s="497"/>
    </row>
    <row r="76" spans="2:10" x14ac:dyDescent="0.2">
      <c r="B76" s="498"/>
      <c r="C76" s="499"/>
      <c r="D76" s="499"/>
      <c r="E76" s="500"/>
    </row>
  </sheetData>
  <sheetProtection selectLockedCells="1"/>
  <mergeCells count="65">
    <mergeCell ref="E44:H44"/>
    <mergeCell ref="E45:H45"/>
    <mergeCell ref="B70:E70"/>
    <mergeCell ref="B71:E76"/>
    <mergeCell ref="E46:H46"/>
    <mergeCell ref="E47:H47"/>
    <mergeCell ref="C66:D66"/>
    <mergeCell ref="C65:D65"/>
    <mergeCell ref="C64:D64"/>
    <mergeCell ref="B53:L53"/>
    <mergeCell ref="C55:H55"/>
    <mergeCell ref="B57:D57"/>
    <mergeCell ref="B63:D63"/>
    <mergeCell ref="B49:L49"/>
    <mergeCell ref="B52:L52"/>
    <mergeCell ref="E14:H14"/>
    <mergeCell ref="E16:H16"/>
    <mergeCell ref="E17:H17"/>
    <mergeCell ref="E18:H18"/>
    <mergeCell ref="E19:H19"/>
    <mergeCell ref="K42:M42"/>
    <mergeCell ref="K43:M43"/>
    <mergeCell ref="J41:M41"/>
    <mergeCell ref="E20:H20"/>
    <mergeCell ref="E33:H33"/>
    <mergeCell ref="E34:H34"/>
    <mergeCell ref="E35:H35"/>
    <mergeCell ref="E36:H36"/>
    <mergeCell ref="E40:H40"/>
    <mergeCell ref="E41:H41"/>
    <mergeCell ref="E42:H42"/>
    <mergeCell ref="E43:H43"/>
    <mergeCell ref="E10:H10"/>
    <mergeCell ref="E11:H11"/>
    <mergeCell ref="E12:H12"/>
    <mergeCell ref="E13:H13"/>
    <mergeCell ref="D2:H2"/>
    <mergeCell ref="E3:H3"/>
    <mergeCell ref="E8:H8"/>
    <mergeCell ref="E9:H9"/>
    <mergeCell ref="B7:H7"/>
    <mergeCell ref="B8:D8"/>
    <mergeCell ref="B6:C6"/>
    <mergeCell ref="B33:D33"/>
    <mergeCell ref="B16:D16"/>
    <mergeCell ref="E37:H37"/>
    <mergeCell ref="E38:H38"/>
    <mergeCell ref="E39:H39"/>
    <mergeCell ref="B26:D26"/>
    <mergeCell ref="E26:H26"/>
    <mergeCell ref="E28:H28"/>
    <mergeCell ref="E29:H29"/>
    <mergeCell ref="E30:H30"/>
    <mergeCell ref="E31:H31"/>
    <mergeCell ref="E27:H27"/>
    <mergeCell ref="B21:H25"/>
    <mergeCell ref="E63:H63"/>
    <mergeCell ref="E64:H64"/>
    <mergeCell ref="E65:H65"/>
    <mergeCell ref="E66:H66"/>
    <mergeCell ref="E57:H57"/>
    <mergeCell ref="E58:H58"/>
    <mergeCell ref="E59:H59"/>
    <mergeCell ref="E60:H60"/>
    <mergeCell ref="E61:H61"/>
  </mergeCells>
  <conditionalFormatting sqref="B11:C11 B12:B13">
    <cfRule type="expression" dxfId="70" priority="68">
      <formula>#REF!="No"</formula>
    </cfRule>
  </conditionalFormatting>
  <conditionalFormatting sqref="C47">
    <cfRule type="expression" dxfId="69" priority="30">
      <formula>$D$54="No"</formula>
    </cfRule>
  </conditionalFormatting>
  <conditionalFormatting sqref="C47">
    <cfRule type="expression" dxfId="68" priority="29">
      <formula>$D$44="No"</formula>
    </cfRule>
  </conditionalFormatting>
  <conditionalFormatting sqref="C47">
    <cfRule type="cellIs" dxfId="67" priority="26" operator="equal">
      <formula>"Not enough info"</formula>
    </cfRule>
    <cfRule type="cellIs" dxfId="66" priority="27" operator="equal">
      <formula>"No"</formula>
    </cfRule>
    <cfRule type="cellIs" dxfId="65" priority="28" operator="equal">
      <formula>"Yes"</formula>
    </cfRule>
  </conditionalFormatting>
  <conditionalFormatting sqref="C66">
    <cfRule type="expression" dxfId="64" priority="25">
      <formula>$D$54="No"</formula>
    </cfRule>
  </conditionalFormatting>
  <conditionalFormatting sqref="C66">
    <cfRule type="expression" dxfId="63" priority="24">
      <formula>$D$44="No"</formula>
    </cfRule>
  </conditionalFormatting>
  <conditionalFormatting sqref="C66">
    <cfRule type="cellIs" dxfId="62" priority="21" operator="equal">
      <formula>"Not enough info"</formula>
    </cfRule>
    <cfRule type="cellIs" dxfId="61" priority="22" operator="equal">
      <formula>"No"</formula>
    </cfRule>
    <cfRule type="cellIs" dxfId="60" priority="23" operator="equal">
      <formula>"Yes"</formula>
    </cfRule>
  </conditionalFormatting>
  <conditionalFormatting sqref="C31">
    <cfRule type="expression" dxfId="59" priority="19">
      <formula>$D$54="No"</formula>
    </cfRule>
  </conditionalFormatting>
  <conditionalFormatting sqref="C31">
    <cfRule type="expression" dxfId="58" priority="18">
      <formula>$D$44="No"</formula>
    </cfRule>
  </conditionalFormatting>
  <conditionalFormatting sqref="C31">
    <cfRule type="cellIs" dxfId="57" priority="15" operator="equal">
      <formula>"Not enough info"</formula>
    </cfRule>
    <cfRule type="cellIs" dxfId="56" priority="16" operator="equal">
      <formula>"No"</formula>
    </cfRule>
    <cfRule type="cellIs" dxfId="55" priority="17" operator="equal">
      <formula>"Yes"</formula>
    </cfRule>
  </conditionalFormatting>
  <conditionalFormatting sqref="B28:H31">
    <cfRule type="expression" dxfId="54" priority="14">
      <formula>$C$27="No"</formula>
    </cfRule>
  </conditionalFormatting>
  <conditionalFormatting sqref="B28:H28">
    <cfRule type="expression" dxfId="53" priority="13">
      <formula>$C$27="No"</formula>
    </cfRule>
  </conditionalFormatting>
  <conditionalFormatting sqref="B33:M47">
    <cfRule type="expression" dxfId="52" priority="12">
      <formula>$C$27="Yes"</formula>
    </cfRule>
  </conditionalFormatting>
  <conditionalFormatting sqref="B27:H27">
    <cfRule type="expression" dxfId="51" priority="11">
      <formula>$C$27="No"</formula>
    </cfRule>
  </conditionalFormatting>
  <conditionalFormatting sqref="E64:H64">
    <cfRule type="expression" dxfId="50" priority="3">
      <formula>$C$27="No"</formula>
    </cfRule>
  </conditionalFormatting>
  <conditionalFormatting sqref="B50:Q50">
    <cfRule type="expression" dxfId="49" priority="1">
      <formula>$C$47="No"</formula>
    </cfRule>
  </conditionalFormatting>
  <dataValidations count="2">
    <dataValidation type="list" allowBlank="1" showInputMessage="1" showErrorMessage="1" sqref="C11" xr:uid="{F27D8296-0D0D-4BBF-9925-65AFDFFDF97F}">
      <formula1>"1,1.1,1.21"</formula1>
    </dataValidation>
    <dataValidation type="list" allowBlank="1" showInputMessage="1" showErrorMessage="1" sqref="C27" xr:uid="{823BD872-1B56-4252-B5ED-5D7DFBB1AEE6}">
      <formula1>"Yes,No"</formula1>
    </dataValidation>
  </dataValidations>
  <hyperlinks>
    <hyperlink ref="B55" r:id="rId1" xr:uid="{B35DF481-F538-48FD-8CF2-616C2FDD781D}"/>
  </hyperlinks>
  <pageMargins left="0.70866141732283472" right="0.70866141732283472" top="0.74803149606299213" bottom="0.74803149606299213" header="0.31496062992125984" footer="0.31496062992125984"/>
  <pageSetup scale="86" orientation="portrait" r:id="rId2"/>
  <drawing r:id="rId3"/>
  <extLst>
    <ext xmlns:x14="http://schemas.microsoft.com/office/spreadsheetml/2009/9/main" uri="{78C0D931-6437-407d-A8EE-F0AAD7539E65}">
      <x14:conditionalFormattings>
        <x14:conditionalFormatting xmlns:xm="http://schemas.microsoft.com/office/excel/2006/main">
          <x14:cfRule type="expression" priority="51" id="{3CD65B1B-7707-4E31-AA43-D88FAF3A2079}">
            <xm:f>Summary!$D$21="Relief Valve"</xm:f>
            <x14:dxf>
              <font>
                <color theme="0"/>
              </font>
              <fill>
                <patternFill>
                  <bgColor theme="0"/>
                </patternFill>
              </fill>
              <border>
                <left/>
                <right/>
                <top style="thin">
                  <color auto="1"/>
                </top>
                <bottom/>
                <vertical/>
                <horizontal/>
              </border>
            </x14:dxf>
          </x14:cfRule>
          <xm:sqref>B60:D60</xm:sqref>
        </x14:conditionalFormatting>
        <x14:conditionalFormatting xmlns:xm="http://schemas.microsoft.com/office/excel/2006/main">
          <x14:cfRule type="expression" priority="48" id="{1E3DBEB2-E6F3-44E9-926A-0929EDB58FB6}">
            <xm:f>Summary!$D$21="Relief Valve"</xm:f>
            <x14:dxf>
              <font>
                <color theme="0"/>
              </font>
              <fill>
                <patternFill>
                  <bgColor theme="0"/>
                </patternFill>
              </fill>
              <border>
                <left/>
                <right style="thin">
                  <color auto="1"/>
                </right>
                <top/>
                <bottom/>
                <vertical/>
                <horizontal/>
              </border>
            </x14:dxf>
          </x14:cfRule>
          <xm:sqref>B64</xm:sqref>
        </x14:conditionalFormatting>
        <x14:conditionalFormatting xmlns:xm="http://schemas.microsoft.com/office/excel/2006/main">
          <x14:cfRule type="expression" priority="47" id="{0E64F0AC-12F2-496A-9E28-54F5125C20E4}">
            <xm:f>Summary!$D$21="Relief Valve"</xm:f>
            <x14:dxf>
              <font>
                <color theme="0"/>
              </font>
              <fill>
                <patternFill>
                  <bgColor theme="0"/>
                </patternFill>
              </fill>
              <border>
                <left/>
                <right style="thin">
                  <color auto="1"/>
                </right>
                <top/>
                <bottom/>
                <vertical/>
                <horizontal/>
              </border>
            </x14:dxf>
          </x14:cfRule>
          <xm:sqref>C64</xm:sqref>
        </x14:conditionalFormatting>
        <x14:conditionalFormatting xmlns:xm="http://schemas.microsoft.com/office/excel/2006/main">
          <x14:cfRule type="expression" priority="33" id="{EDB87226-DF00-4EC3-95F4-CDC1327D68FF}">
            <xm:f>Summary!D21="Relief Valve"</xm:f>
            <x14:dxf>
              <font>
                <color theme="0"/>
              </font>
              <fill>
                <patternFill>
                  <bgColor theme="0"/>
                </patternFill>
              </fill>
              <border>
                <left/>
                <right/>
                <top/>
                <bottom/>
                <vertical/>
                <horizontal/>
              </border>
            </x14:dxf>
          </x14:cfRule>
          <xm:sqref>B16:H20</xm:sqref>
        </x14:conditionalFormatting>
        <x14:conditionalFormatting xmlns:xm="http://schemas.microsoft.com/office/excel/2006/main">
          <x14:cfRule type="expression" priority="32" id="{68D55537-8CEE-48F6-98B9-EAFA5459E196}">
            <xm:f>Summary!$D$21="Relief Valve"</xm:f>
            <x14:dxf>
              <font>
                <color theme="0"/>
              </font>
              <fill>
                <patternFill>
                  <bgColor theme="0"/>
                </patternFill>
              </fill>
              <border>
                <left/>
                <right/>
                <top/>
                <bottom/>
                <vertical/>
                <horizontal/>
              </border>
            </x14:dxf>
          </x14:cfRule>
          <xm:sqref>E16:H20</xm:sqref>
        </x14:conditionalFormatting>
        <x14:conditionalFormatting xmlns:xm="http://schemas.microsoft.com/office/excel/2006/main">
          <x14:cfRule type="expression" priority="20" id="{59FD8E04-E6DC-4374-B899-27C1392A36DC}">
            <xm:f>Summary!$D$21="Relief Valve"</xm:f>
            <x14:dxf>
              <border>
                <left/>
                <right/>
                <top style="thin">
                  <color auto="1"/>
                </top>
                <bottom/>
                <vertical/>
                <horizontal/>
              </border>
            </x14:dxf>
          </x14:cfRule>
          <xm:sqref>B64:D64</xm:sqref>
        </x14:conditionalFormatting>
        <x14:conditionalFormatting xmlns:xm="http://schemas.microsoft.com/office/excel/2006/main">
          <x14:cfRule type="expression" priority="10" id="{60B1D48C-3CBC-4E33-91F5-42AE2D9C59FC}">
            <xm:f>Summary!$D$21="Relief Valve"</xm:f>
            <x14:dxf>
              <border>
                <bottom style="thin">
                  <color auto="1"/>
                </bottom>
                <vertical/>
                <horizontal/>
              </border>
            </x14:dxf>
          </x14:cfRule>
          <xm:sqref>B59:D59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C6552-EBCE-4408-B0CB-5F9C08030EE7}">
  <sheetPr codeName="Sheet4"/>
  <dimension ref="A1:Z63"/>
  <sheetViews>
    <sheetView showGridLines="0" topLeftCell="A16" zoomScaleNormal="100" workbookViewId="0">
      <selection activeCell="B38" sqref="B38:T38"/>
    </sheetView>
  </sheetViews>
  <sheetFormatPr baseColWidth="10" defaultColWidth="9.1640625" defaultRowHeight="15" x14ac:dyDescent="0.2"/>
  <cols>
    <col min="1" max="1" width="2.83203125" customWidth="1"/>
    <col min="2" max="2" width="35.83203125" customWidth="1"/>
    <col min="3" max="3" width="16.5" customWidth="1"/>
    <col min="4" max="4" width="14.6640625" customWidth="1"/>
    <col min="5" max="8" width="12.6640625" customWidth="1"/>
    <col min="9" max="9" width="10.6640625" customWidth="1"/>
    <col min="10" max="10" width="14.5" customWidth="1"/>
    <col min="14" max="14" width="15.33203125" customWidth="1"/>
    <col min="15" max="15" width="11.33203125" bestFit="1" customWidth="1"/>
  </cols>
  <sheetData>
    <row r="1" spans="1:21" ht="15" customHeight="1" x14ac:dyDescent="0.3">
      <c r="A1" s="230"/>
      <c r="B1" s="230"/>
      <c r="C1" s="230"/>
      <c r="D1" s="301"/>
      <c r="E1" s="54"/>
      <c r="F1" s="24"/>
      <c r="G1" s="24"/>
      <c r="H1" s="24"/>
      <c r="I1" s="24"/>
      <c r="J1" s="302"/>
      <c r="K1" s="24"/>
      <c r="L1" s="24"/>
      <c r="M1" s="24"/>
      <c r="N1" s="24"/>
      <c r="O1" s="24"/>
      <c r="P1" s="24"/>
      <c r="Q1" s="24"/>
      <c r="R1" s="24"/>
      <c r="S1" s="24"/>
      <c r="T1" s="24"/>
      <c r="U1" s="24"/>
    </row>
    <row r="2" spans="1:21" ht="100.5" customHeight="1" x14ac:dyDescent="0.2">
      <c r="A2" s="230"/>
      <c r="B2" s="231"/>
      <c r="C2" s="232"/>
      <c r="D2" s="582" t="s">
        <v>133</v>
      </c>
      <c r="E2" s="583"/>
      <c r="F2" s="583"/>
      <c r="G2" s="583"/>
      <c r="H2" s="584"/>
      <c r="K2" s="24"/>
      <c r="L2" s="24"/>
      <c r="M2" s="24"/>
      <c r="N2" s="24"/>
      <c r="O2" s="24"/>
      <c r="P2" s="24"/>
      <c r="Q2" s="24"/>
      <c r="R2" s="24"/>
      <c r="S2" s="24"/>
      <c r="T2" s="24"/>
      <c r="U2" s="24"/>
    </row>
    <row r="3" spans="1:21" ht="14.25" customHeight="1" x14ac:dyDescent="0.2">
      <c r="A3" s="24"/>
      <c r="B3" s="303" t="s">
        <v>160</v>
      </c>
      <c r="C3" s="304"/>
      <c r="D3" s="200" t="s">
        <v>161</v>
      </c>
      <c r="E3" s="585" t="s">
        <v>162</v>
      </c>
      <c r="F3" s="586"/>
      <c r="G3" s="586"/>
      <c r="H3" s="587"/>
      <c r="K3" s="24"/>
      <c r="L3" s="24"/>
      <c r="M3" s="24"/>
      <c r="N3" s="24"/>
      <c r="O3" s="24"/>
      <c r="P3" s="24"/>
      <c r="Q3" s="24"/>
      <c r="R3" s="24"/>
      <c r="S3" s="24"/>
      <c r="T3" s="24"/>
      <c r="U3" s="24"/>
    </row>
    <row r="4" spans="1:21" ht="14.25" customHeight="1" x14ac:dyDescent="0.2">
      <c r="A4" s="24"/>
      <c r="B4" s="588" t="str">
        <f>IF(Summary!B4="","",Summary!B4)</f>
        <v/>
      </c>
      <c r="C4" s="589"/>
      <c r="D4" s="348" t="str">
        <f>IF(Summary!D4="","",Summary!D4)</f>
        <v/>
      </c>
      <c r="E4" s="202" t="s">
        <v>22</v>
      </c>
      <c r="F4" s="202" t="s">
        <v>23</v>
      </c>
      <c r="G4" s="202" t="s">
        <v>24</v>
      </c>
      <c r="H4" s="202" t="s">
        <v>1</v>
      </c>
      <c r="K4" s="24"/>
      <c r="L4" s="24"/>
      <c r="M4" s="24"/>
      <c r="N4" s="24"/>
      <c r="O4" s="24"/>
      <c r="P4" s="24"/>
      <c r="Q4" s="24"/>
      <c r="R4" s="24"/>
      <c r="S4" s="24"/>
      <c r="T4" s="24"/>
      <c r="U4" s="24"/>
    </row>
    <row r="5" spans="1:21" ht="14.25" customHeight="1" x14ac:dyDescent="0.2">
      <c r="A5" s="24"/>
      <c r="B5" s="203" t="s">
        <v>1</v>
      </c>
      <c r="C5" s="204"/>
      <c r="D5" s="205" t="s">
        <v>23</v>
      </c>
      <c r="E5" s="353"/>
      <c r="F5" s="352"/>
      <c r="G5" s="350"/>
      <c r="H5" s="351"/>
      <c r="K5" s="24"/>
      <c r="L5" s="24"/>
      <c r="M5" s="24"/>
      <c r="N5" s="24"/>
      <c r="O5" s="24"/>
      <c r="P5" s="24"/>
      <c r="Q5" s="24"/>
      <c r="R5" s="24"/>
      <c r="S5" s="24"/>
      <c r="T5" s="24"/>
      <c r="U5" s="24"/>
    </row>
    <row r="6" spans="1:21" ht="14.25" customHeight="1" x14ac:dyDescent="0.2">
      <c r="A6" s="24"/>
      <c r="B6" s="590" t="s">
        <v>77</v>
      </c>
      <c r="C6" s="591"/>
      <c r="D6" s="209" t="str">
        <f>IF(Summary!D6="","",Summary!D6)</f>
        <v/>
      </c>
      <c r="E6" s="353"/>
      <c r="F6" s="352"/>
      <c r="G6" s="351"/>
      <c r="H6" s="351"/>
      <c r="K6" s="24"/>
      <c r="L6" s="24"/>
      <c r="M6" s="24"/>
      <c r="N6" s="24"/>
      <c r="O6" s="24"/>
      <c r="P6" s="24"/>
      <c r="Q6" s="24"/>
      <c r="R6" s="24"/>
      <c r="S6" s="24"/>
      <c r="T6" s="24"/>
      <c r="U6" s="24"/>
    </row>
    <row r="7" spans="1:21" x14ac:dyDescent="0.2">
      <c r="A7" s="24"/>
      <c r="B7" s="516" t="s">
        <v>186</v>
      </c>
      <c r="C7" s="516"/>
      <c r="D7" s="516"/>
      <c r="E7" s="516"/>
      <c r="F7" s="516"/>
      <c r="G7" s="516"/>
      <c r="H7" s="516"/>
      <c r="I7" s="305"/>
      <c r="J7" s="242"/>
      <c r="K7" s="24"/>
      <c r="L7" s="24"/>
      <c r="M7" s="24"/>
      <c r="N7" s="24"/>
      <c r="O7" s="24"/>
      <c r="P7" s="24"/>
      <c r="Q7" s="24"/>
      <c r="R7" s="24"/>
      <c r="S7" s="24"/>
      <c r="T7" s="24"/>
      <c r="U7" s="24"/>
    </row>
    <row r="8" spans="1:21" x14ac:dyDescent="0.2">
      <c r="A8" s="24"/>
      <c r="B8" s="593" t="s">
        <v>102</v>
      </c>
      <c r="C8" s="594"/>
      <c r="D8" s="595"/>
      <c r="E8" s="576" t="s">
        <v>10</v>
      </c>
      <c r="F8" s="577"/>
      <c r="G8" s="577"/>
      <c r="H8" s="578"/>
    </row>
    <row r="9" spans="1:21" x14ac:dyDescent="0.2">
      <c r="A9" s="24"/>
      <c r="B9" s="306" t="s">
        <v>1</v>
      </c>
      <c r="C9" s="307" t="s">
        <v>27</v>
      </c>
      <c r="D9" s="308" t="s">
        <v>32</v>
      </c>
      <c r="E9" s="530"/>
      <c r="F9" s="531"/>
      <c r="G9" s="531"/>
      <c r="H9" s="532"/>
    </row>
    <row r="10" spans="1:21" ht="15" customHeight="1" x14ac:dyDescent="0.2">
      <c r="A10" s="24"/>
      <c r="B10" s="145" t="s">
        <v>30</v>
      </c>
      <c r="C10" s="151" t="str">
        <f>IF(Summary!D14="","",Summary!D14)</f>
        <v/>
      </c>
      <c r="D10" s="266" t="s">
        <v>43</v>
      </c>
      <c r="E10" s="531"/>
      <c r="F10" s="531"/>
      <c r="G10" s="531"/>
      <c r="H10" s="532"/>
    </row>
    <row r="11" spans="1:21" x14ac:dyDescent="0.2">
      <c r="A11" s="24"/>
      <c r="B11" s="146" t="s">
        <v>165</v>
      </c>
      <c r="C11" s="122"/>
      <c r="D11" s="267" t="s">
        <v>190</v>
      </c>
      <c r="E11" s="531"/>
      <c r="F11" s="531"/>
      <c r="G11" s="531"/>
      <c r="H11" s="532"/>
    </row>
    <row r="12" spans="1:21" x14ac:dyDescent="0.2">
      <c r="A12" s="24"/>
      <c r="B12" s="268" t="s">
        <v>147</v>
      </c>
      <c r="C12" s="269" t="str">
        <f>IF(OR(C10="",C11=""),"",C10*C11)</f>
        <v/>
      </c>
      <c r="D12" s="267" t="s">
        <v>43</v>
      </c>
      <c r="E12" s="531"/>
      <c r="F12" s="531"/>
      <c r="G12" s="531"/>
      <c r="H12" s="532"/>
    </row>
    <row r="13" spans="1:21" ht="15" customHeight="1" x14ac:dyDescent="0.2">
      <c r="A13" s="24"/>
      <c r="B13" s="146" t="str">
        <f>IF(Summary!$D$21="Relief Valve","ASME Set Pressure","ASME Burst Pressure ")</f>
        <v xml:space="preserve">ASME Burst Pressure </v>
      </c>
      <c r="C13" s="150" t="str">
        <f>IF(Summary!$D$22="","",Summary!$D$22)</f>
        <v/>
      </c>
      <c r="D13" s="267" t="s">
        <v>43</v>
      </c>
      <c r="E13" s="531"/>
      <c r="F13" s="531"/>
      <c r="G13" s="531"/>
      <c r="H13" s="532"/>
    </row>
    <row r="14" spans="1:21" ht="15" customHeight="1" x14ac:dyDescent="0.2">
      <c r="A14" s="24"/>
      <c r="B14" s="147" t="s">
        <v>148</v>
      </c>
      <c r="C14" s="271" t="str">
        <f>IF(Summary!D21="Relief Valve",IF(OR(C12="",C13=""),"",C12-C13),IF(OR(C12="",C20=""),"",C12-C20))</f>
        <v/>
      </c>
      <c r="D14" s="272" t="s">
        <v>43</v>
      </c>
      <c r="E14" s="534"/>
      <c r="F14" s="534"/>
      <c r="G14" s="534"/>
      <c r="H14" s="535"/>
    </row>
    <row r="15" spans="1:21" ht="15" customHeight="1" x14ac:dyDescent="0.2">
      <c r="A15" s="24"/>
      <c r="D15" s="273"/>
      <c r="E15" s="274"/>
      <c r="F15" s="274"/>
      <c r="G15" s="274"/>
      <c r="H15" s="230"/>
    </row>
    <row r="16" spans="1:21" ht="15" customHeight="1" x14ac:dyDescent="0.2">
      <c r="A16" s="24"/>
      <c r="B16" s="608" t="s">
        <v>122</v>
      </c>
      <c r="C16" s="608"/>
      <c r="D16" s="609"/>
      <c r="E16" s="576" t="s">
        <v>10</v>
      </c>
      <c r="F16" s="577"/>
      <c r="G16" s="577"/>
      <c r="H16" s="578"/>
    </row>
    <row r="17" spans="1:21" ht="15" customHeight="1" x14ac:dyDescent="0.2">
      <c r="A17" s="24"/>
      <c r="B17" s="309" t="s">
        <v>1</v>
      </c>
      <c r="C17" s="309" t="s">
        <v>27</v>
      </c>
      <c r="D17" s="310" t="s">
        <v>32</v>
      </c>
      <c r="E17" s="530"/>
      <c r="F17" s="531"/>
      <c r="G17" s="531"/>
      <c r="H17" s="532"/>
    </row>
    <row r="18" spans="1:21" ht="15" customHeight="1" x14ac:dyDescent="0.2">
      <c r="A18" s="24"/>
      <c r="B18" s="97" t="s">
        <v>127</v>
      </c>
      <c r="C18" s="124" t="str">
        <f>IF(Summary!D27="","",Summary!D27)</f>
        <v/>
      </c>
      <c r="D18" s="278"/>
      <c r="E18" s="530"/>
      <c r="F18" s="531"/>
      <c r="G18" s="531"/>
      <c r="H18" s="532"/>
    </row>
    <row r="19" spans="1:21" ht="15" customHeight="1" x14ac:dyDescent="0.2">
      <c r="A19" s="24"/>
      <c r="B19" s="148" t="s">
        <v>126</v>
      </c>
      <c r="C19" s="149" t="str">
        <f>IF(Summary!D28="","",Summary!D28)</f>
        <v/>
      </c>
      <c r="D19" s="267"/>
      <c r="E19" s="530"/>
      <c r="F19" s="531"/>
      <c r="G19" s="531"/>
      <c r="H19" s="532"/>
    </row>
    <row r="20" spans="1:21" ht="15" customHeight="1" x14ac:dyDescent="0.2">
      <c r="A20" s="24"/>
      <c r="B20" s="123" t="s">
        <v>167</v>
      </c>
      <c r="C20" s="26" t="str">
        <f>IF(OR(C16="",C18="",C19="",Summary!D29=""),"",C13*(1+C18)*(1+C19)*Summary!D29)</f>
        <v/>
      </c>
      <c r="D20" s="280" t="s">
        <v>43</v>
      </c>
      <c r="E20" s="533"/>
      <c r="F20" s="534"/>
      <c r="G20" s="534"/>
      <c r="H20" s="535"/>
    </row>
    <row r="21" spans="1:21" x14ac:dyDescent="0.2">
      <c r="A21" s="24"/>
    </row>
    <row r="22" spans="1:21" x14ac:dyDescent="0.2">
      <c r="A22" s="24"/>
      <c r="B22" s="153" t="s">
        <v>81</v>
      </c>
      <c r="C22" s="354"/>
      <c r="O22" s="136"/>
      <c r="P22" s="136"/>
      <c r="Q22" s="136"/>
      <c r="R22" s="136"/>
      <c r="S22" s="136"/>
      <c r="T22" s="24"/>
      <c r="U22" s="24"/>
    </row>
    <row r="23" spans="1:21" x14ac:dyDescent="0.2">
      <c r="A23" s="24"/>
      <c r="B23" s="356" t="s">
        <v>82</v>
      </c>
      <c r="C23" s="355"/>
      <c r="O23" s="136"/>
      <c r="P23" s="136"/>
      <c r="Q23" s="136"/>
      <c r="R23" s="136"/>
      <c r="S23" s="136"/>
      <c r="T23" s="24"/>
      <c r="U23" s="24"/>
    </row>
    <row r="24" spans="1:21" x14ac:dyDescent="0.2">
      <c r="A24" s="24"/>
      <c r="O24" s="136"/>
      <c r="P24" s="136"/>
      <c r="Q24" s="136"/>
      <c r="R24" s="136"/>
      <c r="S24" s="136"/>
      <c r="T24" s="24"/>
      <c r="U24" s="24"/>
    </row>
    <row r="25" spans="1:21" x14ac:dyDescent="0.2">
      <c r="A25" s="24"/>
      <c r="B25" s="474" t="s">
        <v>178</v>
      </c>
      <c r="C25" s="474"/>
      <c r="D25" s="474"/>
      <c r="E25" s="474"/>
      <c r="F25" s="474"/>
      <c r="G25" s="474"/>
      <c r="H25" s="474"/>
      <c r="I25" s="474"/>
      <c r="J25" s="474"/>
      <c r="K25" s="474"/>
      <c r="L25" s="474"/>
      <c r="M25" s="474"/>
      <c r="N25" s="474"/>
    </row>
    <row r="26" spans="1:21" x14ac:dyDescent="0.2">
      <c r="A26" s="24"/>
      <c r="B26" s="592" t="s">
        <v>99</v>
      </c>
      <c r="C26" s="592"/>
      <c r="D26" s="592"/>
      <c r="E26" s="24"/>
      <c r="N26" s="136"/>
    </row>
    <row r="27" spans="1:21" x14ac:dyDescent="0.2">
      <c r="A27" s="24"/>
      <c r="B27" s="474" t="s">
        <v>184</v>
      </c>
      <c r="C27" s="474"/>
      <c r="D27" s="474"/>
      <c r="E27" s="474"/>
      <c r="F27" s="474"/>
      <c r="O27" s="136"/>
      <c r="P27" s="136"/>
      <c r="Q27" s="136"/>
      <c r="R27" s="136"/>
      <c r="S27" s="136"/>
      <c r="T27" s="24"/>
      <c r="U27" s="24"/>
    </row>
    <row r="28" spans="1:21" x14ac:dyDescent="0.2">
      <c r="A28" s="24"/>
      <c r="B28" s="311" t="s">
        <v>177</v>
      </c>
      <c r="C28" s="312"/>
      <c r="D28" s="311"/>
      <c r="E28" s="24"/>
      <c r="F28" s="24"/>
      <c r="G28" s="24"/>
      <c r="H28" s="136"/>
      <c r="I28" s="136"/>
      <c r="K28" s="136"/>
      <c r="L28" s="313"/>
      <c r="M28" s="136"/>
      <c r="N28" s="136"/>
      <c r="O28" s="136"/>
      <c r="P28" s="136"/>
      <c r="Q28" s="136"/>
      <c r="R28" s="136"/>
      <c r="S28" s="136"/>
      <c r="T28" s="24"/>
      <c r="U28" s="24"/>
    </row>
    <row r="29" spans="1:21" x14ac:dyDescent="0.2">
      <c r="A29" s="24"/>
      <c r="B29" s="593" t="s">
        <v>183</v>
      </c>
      <c r="C29" s="594"/>
      <c r="D29" s="595"/>
      <c r="E29" s="576" t="s">
        <v>10</v>
      </c>
      <c r="F29" s="577"/>
      <c r="G29" s="577"/>
      <c r="H29" s="578"/>
      <c r="I29" s="136"/>
      <c r="K29" s="136"/>
      <c r="L29" s="313"/>
      <c r="M29" s="136"/>
      <c r="N29" s="136"/>
      <c r="O29" s="136"/>
      <c r="P29" s="136"/>
      <c r="Q29" s="136"/>
      <c r="R29" s="136"/>
      <c r="S29" s="136"/>
      <c r="T29" s="24"/>
      <c r="U29" s="24"/>
    </row>
    <row r="30" spans="1:21" ht="15" customHeight="1" x14ac:dyDescent="0.2">
      <c r="A30" s="24"/>
      <c r="B30" s="306" t="s">
        <v>1</v>
      </c>
      <c r="C30" s="307" t="s">
        <v>27</v>
      </c>
      <c r="D30" s="308" t="s">
        <v>32</v>
      </c>
      <c r="E30" s="579"/>
      <c r="F30" s="580"/>
      <c r="G30" s="580"/>
      <c r="H30" s="581"/>
      <c r="I30" s="136"/>
      <c r="J30" s="596" t="s">
        <v>204</v>
      </c>
      <c r="K30" s="597"/>
      <c r="L30" s="597"/>
      <c r="M30" s="597"/>
      <c r="N30" s="598"/>
      <c r="O30" s="357"/>
      <c r="P30" s="136"/>
      <c r="Q30" s="136"/>
      <c r="R30" s="136"/>
      <c r="S30" s="136"/>
      <c r="T30" s="24"/>
      <c r="U30" s="24"/>
    </row>
    <row r="31" spans="1:21" x14ac:dyDescent="0.2">
      <c r="B31" s="160" t="s">
        <v>40</v>
      </c>
      <c r="C31" s="300"/>
      <c r="D31" s="153"/>
      <c r="E31" s="569"/>
      <c r="F31" s="570"/>
      <c r="G31" s="570"/>
      <c r="H31" s="571"/>
      <c r="I31" s="136"/>
      <c r="J31" s="599"/>
      <c r="K31" s="600"/>
      <c r="L31" s="600"/>
      <c r="M31" s="600"/>
      <c r="N31" s="601"/>
      <c r="O31" s="357"/>
      <c r="P31" s="136"/>
      <c r="Q31" s="136"/>
      <c r="R31" s="136"/>
      <c r="S31" s="136"/>
      <c r="T31" s="24"/>
      <c r="U31" s="24"/>
    </row>
    <row r="32" spans="1:21" ht="15" customHeight="1" x14ac:dyDescent="0.2">
      <c r="B32" s="161" t="s">
        <v>78</v>
      </c>
      <c r="C32" s="253"/>
      <c r="D32" s="155" t="s">
        <v>76</v>
      </c>
      <c r="E32" s="569"/>
      <c r="F32" s="570"/>
      <c r="G32" s="570"/>
      <c r="H32" s="571"/>
      <c r="J32" s="599"/>
      <c r="K32" s="600"/>
      <c r="L32" s="600"/>
      <c r="M32" s="600"/>
      <c r="N32" s="601"/>
      <c r="O32" s="357"/>
      <c r="P32" s="136"/>
      <c r="Q32" s="136"/>
      <c r="R32" s="136"/>
      <c r="S32" s="136"/>
      <c r="T32" s="24"/>
      <c r="U32" s="24"/>
    </row>
    <row r="33" spans="2:26" x14ac:dyDescent="0.2">
      <c r="B33" s="155" t="s">
        <v>79</v>
      </c>
      <c r="C33" s="152" t="str">
        <f>IF(C32="","",C32/0.9)</f>
        <v/>
      </c>
      <c r="D33" s="155" t="s">
        <v>76</v>
      </c>
      <c r="E33" s="569"/>
      <c r="F33" s="570"/>
      <c r="G33" s="570"/>
      <c r="H33" s="571"/>
      <c r="J33" s="599"/>
      <c r="K33" s="600"/>
      <c r="L33" s="600"/>
      <c r="M33" s="600"/>
      <c r="N33" s="601"/>
      <c r="O33" s="357"/>
      <c r="P33" s="136"/>
      <c r="Q33" s="136"/>
      <c r="R33" s="136"/>
      <c r="S33" s="136"/>
      <c r="T33" s="24"/>
      <c r="U33" s="24"/>
    </row>
    <row r="34" spans="2:26" x14ac:dyDescent="0.2">
      <c r="B34" s="161" t="s">
        <v>137</v>
      </c>
      <c r="C34" s="314" t="str">
        <f>IF(OR(C31="",C33=""),"",70.5*C33*VLOOKUP(C31,Fluids!B2:E22,2,FALSE)/VLOOKUP(C31,Fluids!B2:E22,4,FALSE))</f>
        <v/>
      </c>
      <c r="D34" s="155" t="s">
        <v>138</v>
      </c>
      <c r="E34" s="569"/>
      <c r="F34" s="570"/>
      <c r="G34" s="570"/>
      <c r="H34" s="571"/>
      <c r="J34" s="602"/>
      <c r="K34" s="603"/>
      <c r="L34" s="603"/>
      <c r="M34" s="603"/>
      <c r="N34" s="604"/>
      <c r="O34" s="357"/>
      <c r="P34" s="136"/>
      <c r="Q34" s="136"/>
      <c r="R34" s="136"/>
      <c r="S34" s="136"/>
      <c r="T34" s="24"/>
      <c r="U34" s="24"/>
    </row>
    <row r="35" spans="2:26" x14ac:dyDescent="0.2">
      <c r="B35" s="286" t="s">
        <v>182</v>
      </c>
      <c r="C35" s="175" t="str">
        <f>IF(C34="","Not enough info",IF(MAX(C34,'Case 2 - Nitrogen Cntrl Failure'!C46,'Case 2 - Nitrogen Cntrl Failure'!C30,'Case 1 - External Fire'!C37,'Case 4 - Liquid Overfill'!C31)=C34,"Yes","No"))</f>
        <v>Not enough info</v>
      </c>
      <c r="D35" s="154"/>
      <c r="E35" s="572"/>
      <c r="F35" s="573"/>
      <c r="G35" s="573"/>
      <c r="H35" s="574"/>
      <c r="I35" s="136"/>
      <c r="J35" s="136"/>
      <c r="K35" s="136"/>
      <c r="L35" s="136"/>
      <c r="M35" s="136"/>
      <c r="N35" s="136"/>
      <c r="O35" s="136"/>
      <c r="P35" s="136"/>
      <c r="Q35" s="136"/>
      <c r="R35" s="136"/>
      <c r="S35" s="136"/>
      <c r="T35" s="24"/>
      <c r="U35" s="24"/>
    </row>
    <row r="36" spans="2:26" x14ac:dyDescent="0.2">
      <c r="B36" s="136"/>
      <c r="I36" s="136"/>
      <c r="J36" s="136"/>
      <c r="K36" s="136"/>
      <c r="L36" s="136"/>
      <c r="M36" s="136"/>
      <c r="N36" s="136"/>
      <c r="O36" s="136"/>
      <c r="P36" s="136"/>
      <c r="Q36" s="136"/>
      <c r="R36" s="136"/>
      <c r="S36" s="136"/>
      <c r="T36" s="24"/>
      <c r="U36" s="24"/>
    </row>
    <row r="37" spans="2:26" x14ac:dyDescent="0.2">
      <c r="B37" s="474" t="s">
        <v>179</v>
      </c>
      <c r="C37" s="474"/>
      <c r="D37" s="474"/>
      <c r="E37" s="474"/>
      <c r="F37" s="474"/>
      <c r="G37" s="474"/>
      <c r="H37" s="474"/>
      <c r="I37" s="474"/>
      <c r="J37" s="474"/>
      <c r="K37" s="474"/>
      <c r="L37" s="474"/>
      <c r="M37" s="136"/>
      <c r="N37" s="136"/>
      <c r="O37" s="136"/>
      <c r="P37" s="136"/>
      <c r="Q37" s="136"/>
      <c r="R37" s="136"/>
      <c r="S37" s="136"/>
      <c r="T37" s="24"/>
      <c r="U37" s="24"/>
    </row>
    <row r="38" spans="2:26" x14ac:dyDescent="0.2">
      <c r="B38" s="474" t="s">
        <v>210</v>
      </c>
      <c r="C38" s="474"/>
      <c r="D38" s="474"/>
      <c r="E38" s="474"/>
      <c r="F38" s="474"/>
      <c r="G38" s="474"/>
      <c r="H38" s="474"/>
      <c r="I38" s="474"/>
      <c r="J38" s="474"/>
      <c r="K38" s="474"/>
      <c r="L38" s="474"/>
      <c r="M38" s="474"/>
      <c r="N38" s="474"/>
      <c r="O38" s="474"/>
      <c r="P38" s="474"/>
      <c r="Q38" s="474"/>
      <c r="R38" s="474"/>
      <c r="S38" s="474"/>
      <c r="T38" s="474"/>
      <c r="U38" s="24"/>
    </row>
    <row r="39" spans="2:26" x14ac:dyDescent="0.2">
      <c r="B39" s="474" t="s">
        <v>180</v>
      </c>
      <c r="C39" s="474"/>
      <c r="D39" s="474"/>
      <c r="E39" s="474"/>
      <c r="F39" s="474"/>
      <c r="G39" s="474"/>
      <c r="H39" s="474"/>
      <c r="I39" s="474"/>
      <c r="J39" s="474"/>
      <c r="K39" s="474"/>
      <c r="L39" s="474"/>
      <c r="M39" s="474"/>
      <c r="N39" s="474"/>
      <c r="O39" s="474"/>
      <c r="P39" s="474"/>
      <c r="Q39" s="474"/>
      <c r="R39" s="474"/>
      <c r="S39" s="474"/>
      <c r="T39" s="474"/>
      <c r="U39" s="474"/>
      <c r="V39" s="474"/>
      <c r="W39" s="474"/>
      <c r="X39" s="474"/>
      <c r="Y39" s="474"/>
      <c r="Z39" s="474"/>
    </row>
    <row r="40" spans="2:26" x14ac:dyDescent="0.2">
      <c r="B40" s="474" t="s">
        <v>168</v>
      </c>
      <c r="C40" s="474"/>
      <c r="D40" s="474"/>
      <c r="E40" s="474"/>
      <c r="F40" s="474"/>
      <c r="G40" s="474"/>
      <c r="H40" s="474"/>
      <c r="I40" s="474"/>
      <c r="J40" s="474"/>
      <c r="K40" s="474"/>
      <c r="L40" s="474"/>
      <c r="M40" s="474"/>
      <c r="N40" s="474"/>
      <c r="O40" s="474"/>
      <c r="P40" s="474"/>
      <c r="Q40" s="474"/>
      <c r="R40" s="474"/>
      <c r="S40" s="474"/>
      <c r="T40" s="474"/>
      <c r="U40" s="474"/>
    </row>
    <row r="41" spans="2:26" x14ac:dyDescent="0.2">
      <c r="B41" s="491" t="s">
        <v>181</v>
      </c>
      <c r="C41" s="491"/>
      <c r="D41" s="491"/>
      <c r="E41" s="491"/>
      <c r="F41" s="491"/>
      <c r="G41" s="491"/>
      <c r="H41" s="491"/>
      <c r="I41" s="491"/>
      <c r="J41" s="491"/>
      <c r="K41" s="491"/>
      <c r="L41" s="491"/>
      <c r="M41" s="136"/>
      <c r="N41" s="136"/>
      <c r="O41" s="136"/>
      <c r="P41" s="136"/>
      <c r="Q41" s="136"/>
      <c r="R41" s="136"/>
      <c r="S41" s="136"/>
      <c r="T41" s="24"/>
      <c r="U41" s="24"/>
    </row>
    <row r="42" spans="2:26" x14ac:dyDescent="0.2">
      <c r="E42" s="136"/>
      <c r="F42" s="136"/>
      <c r="G42" s="136"/>
      <c r="H42" s="136"/>
      <c r="I42" s="136"/>
      <c r="J42" s="136"/>
      <c r="K42" s="136"/>
      <c r="L42" s="136"/>
      <c r="M42" s="136"/>
      <c r="N42" s="136"/>
      <c r="O42" s="136"/>
      <c r="P42" s="136"/>
      <c r="Q42" s="136"/>
      <c r="R42" s="136"/>
      <c r="S42" s="136"/>
      <c r="T42" s="24"/>
      <c r="U42" s="24"/>
    </row>
    <row r="43" spans="2:26" x14ac:dyDescent="0.2">
      <c r="B43" s="575" t="s">
        <v>99</v>
      </c>
      <c r="C43" s="575"/>
      <c r="D43" s="575"/>
      <c r="E43" s="136"/>
      <c r="F43" s="136"/>
      <c r="G43" s="136"/>
      <c r="H43" s="136"/>
      <c r="I43" s="136"/>
      <c r="J43" s="136"/>
      <c r="K43" s="136"/>
      <c r="L43" s="136"/>
      <c r="M43" s="136"/>
      <c r="N43" s="136"/>
      <c r="O43" s="136"/>
      <c r="P43" s="136"/>
      <c r="Q43" s="136"/>
      <c r="R43" s="136"/>
      <c r="S43" s="136"/>
      <c r="T43" s="24"/>
      <c r="U43" s="24"/>
    </row>
    <row r="44" spans="2:26" x14ac:dyDescent="0.2">
      <c r="B44" s="136"/>
      <c r="C44" s="136"/>
      <c r="D44" s="136"/>
      <c r="E44" s="136"/>
      <c r="F44" s="136"/>
      <c r="G44" s="136"/>
      <c r="H44" s="136"/>
      <c r="I44" s="136"/>
      <c r="J44" s="136"/>
      <c r="K44" s="136"/>
      <c r="L44" s="136"/>
      <c r="M44" s="136"/>
      <c r="N44" s="136"/>
      <c r="O44" s="136"/>
      <c r="P44" s="136"/>
      <c r="Q44" s="136"/>
      <c r="R44" s="136"/>
      <c r="S44" s="136"/>
      <c r="T44" s="24"/>
      <c r="U44" s="24"/>
    </row>
    <row r="45" spans="2:26" ht="15" customHeight="1" x14ac:dyDescent="0.2">
      <c r="B45" s="576" t="s">
        <v>185</v>
      </c>
      <c r="C45" s="577"/>
      <c r="D45" s="578"/>
      <c r="E45" s="576" t="s">
        <v>10</v>
      </c>
      <c r="F45" s="577"/>
      <c r="G45" s="577"/>
      <c r="H45" s="578"/>
      <c r="I45" s="24"/>
      <c r="J45" s="24"/>
      <c r="K45" s="24"/>
      <c r="L45" s="24"/>
      <c r="M45" s="24"/>
      <c r="N45" s="136"/>
      <c r="O45" s="136"/>
      <c r="P45" s="136"/>
      <c r="Q45" s="136"/>
      <c r="R45" s="24"/>
      <c r="S45" s="24"/>
      <c r="T45" s="24"/>
      <c r="U45" s="24"/>
    </row>
    <row r="46" spans="2:26" x14ac:dyDescent="0.2">
      <c r="B46" s="310" t="s">
        <v>1</v>
      </c>
      <c r="C46" s="307" t="s">
        <v>27</v>
      </c>
      <c r="D46" s="308" t="s">
        <v>32</v>
      </c>
      <c r="E46" s="579"/>
      <c r="F46" s="580"/>
      <c r="G46" s="580"/>
      <c r="H46" s="581"/>
      <c r="M46" s="24"/>
      <c r="N46" s="136"/>
      <c r="O46" s="136"/>
      <c r="P46" s="136"/>
      <c r="Q46" s="315"/>
    </row>
    <row r="47" spans="2:26" x14ac:dyDescent="0.2">
      <c r="B47" s="125" t="s">
        <v>37</v>
      </c>
      <c r="C47" s="128"/>
      <c r="D47" s="250" t="s">
        <v>43</v>
      </c>
      <c r="E47" s="569"/>
      <c r="F47" s="570"/>
      <c r="G47" s="570"/>
      <c r="H47" s="571"/>
      <c r="M47" s="24"/>
      <c r="N47" s="136"/>
      <c r="O47" s="136"/>
      <c r="P47" s="136"/>
      <c r="Q47" s="315"/>
    </row>
    <row r="48" spans="2:26" ht="15" customHeight="1" x14ac:dyDescent="0.2">
      <c r="B48" s="159" t="s">
        <v>39</v>
      </c>
      <c r="C48" s="127"/>
      <c r="D48" s="299" t="s">
        <v>43</v>
      </c>
      <c r="E48" s="569"/>
      <c r="F48" s="570"/>
      <c r="G48" s="570"/>
      <c r="H48" s="571"/>
      <c r="M48" s="24"/>
      <c r="N48" s="136"/>
      <c r="O48" s="136"/>
      <c r="P48" s="136"/>
      <c r="Q48" s="315"/>
    </row>
    <row r="49" spans="2:17" ht="15" customHeight="1" x14ac:dyDescent="0.2">
      <c r="B49" s="99" t="s">
        <v>169</v>
      </c>
      <c r="C49" s="154" t="str">
        <f>IF(Summary!D21="Relief Valve",IF(OR(C47="",C13=""),"",C13+C47),IF(OR(C5="",C20=""),"",C47+C20))</f>
        <v/>
      </c>
      <c r="D49" s="252" t="s">
        <v>43</v>
      </c>
      <c r="E49" s="572"/>
      <c r="F49" s="573"/>
      <c r="G49" s="573"/>
      <c r="H49" s="574"/>
      <c r="M49" s="24"/>
      <c r="N49" s="136"/>
      <c r="O49" s="136"/>
      <c r="P49" s="136"/>
      <c r="Q49" s="315"/>
    </row>
    <row r="50" spans="2:17" x14ac:dyDescent="0.2">
      <c r="B50" s="230"/>
      <c r="C50" s="230"/>
      <c r="D50" s="230"/>
      <c r="E50" s="230"/>
      <c r="F50" s="230"/>
      <c r="G50" s="230"/>
    </row>
    <row r="51" spans="2:17" x14ac:dyDescent="0.2">
      <c r="B51" s="608" t="s">
        <v>159</v>
      </c>
      <c r="C51" s="608"/>
      <c r="D51" s="608"/>
      <c r="E51" s="576" t="s">
        <v>10</v>
      </c>
      <c r="F51" s="577"/>
      <c r="G51" s="577"/>
      <c r="H51" s="578"/>
    </row>
    <row r="52" spans="2:17" ht="15" customHeight="1" x14ac:dyDescent="0.2">
      <c r="B52" s="100" t="s">
        <v>170</v>
      </c>
      <c r="C52" s="567" t="str">
        <f>IF(OR(C48="",C12=""),"",IF(C48&lt;C12,"Yes","No"))</f>
        <v/>
      </c>
      <c r="D52" s="568"/>
      <c r="E52" s="579"/>
      <c r="F52" s="580"/>
      <c r="G52" s="580"/>
      <c r="H52" s="581"/>
    </row>
    <row r="53" spans="2:17" ht="15" customHeight="1" x14ac:dyDescent="0.2">
      <c r="B53" s="169" t="s">
        <v>171</v>
      </c>
      <c r="C53" s="565" t="str">
        <f>IF(C49="","",IF(C49&lt;C12,"Yes","No"))</f>
        <v/>
      </c>
      <c r="D53" s="566"/>
      <c r="E53" s="569"/>
      <c r="F53" s="570"/>
      <c r="G53" s="570"/>
      <c r="H53" s="571"/>
    </row>
    <row r="54" spans="2:17" x14ac:dyDescent="0.2">
      <c r="B54" s="68" t="s">
        <v>107</v>
      </c>
      <c r="C54" s="503" t="str">
        <f>IF(AND(Summary!D21="Relief Valve",C53="Yes"),"Yes",IF(C53="","Not enough info",IF(AND(C53="Yes",C52="Yes"),"Yes","No")))</f>
        <v>Not enough info</v>
      </c>
      <c r="D54" s="504"/>
      <c r="E54" s="572"/>
      <c r="F54" s="573"/>
      <c r="G54" s="573"/>
      <c r="H54" s="574"/>
    </row>
    <row r="57" spans="2:17" x14ac:dyDescent="0.2">
      <c r="B57" s="605" t="s">
        <v>166</v>
      </c>
      <c r="C57" s="606"/>
      <c r="D57" s="606"/>
      <c r="E57" s="607"/>
    </row>
    <row r="58" spans="2:17" x14ac:dyDescent="0.2">
      <c r="B58" s="492"/>
      <c r="C58" s="493"/>
      <c r="D58" s="493"/>
      <c r="E58" s="494"/>
    </row>
    <row r="59" spans="2:17" x14ac:dyDescent="0.2">
      <c r="B59" s="495"/>
      <c r="C59" s="496"/>
      <c r="D59" s="496"/>
      <c r="E59" s="497"/>
    </row>
    <row r="60" spans="2:17" x14ac:dyDescent="0.2">
      <c r="B60" s="495"/>
      <c r="C60" s="496"/>
      <c r="D60" s="496"/>
      <c r="E60" s="497"/>
    </row>
    <row r="61" spans="2:17" x14ac:dyDescent="0.2">
      <c r="B61" s="495"/>
      <c r="C61" s="496"/>
      <c r="D61" s="496"/>
      <c r="E61" s="497"/>
    </row>
    <row r="62" spans="2:17" x14ac:dyDescent="0.2">
      <c r="B62" s="495"/>
      <c r="C62" s="496"/>
      <c r="D62" s="496"/>
      <c r="E62" s="497"/>
    </row>
    <row r="63" spans="2:17" x14ac:dyDescent="0.2">
      <c r="B63" s="498"/>
      <c r="C63" s="499"/>
      <c r="D63" s="499"/>
      <c r="E63" s="500"/>
    </row>
  </sheetData>
  <mergeCells count="53">
    <mergeCell ref="B57:E57"/>
    <mergeCell ref="B58:E63"/>
    <mergeCell ref="C53:D53"/>
    <mergeCell ref="C54:D54"/>
    <mergeCell ref="B8:D8"/>
    <mergeCell ref="E8:H8"/>
    <mergeCell ref="E9:H9"/>
    <mergeCell ref="E10:H10"/>
    <mergeCell ref="E11:H11"/>
    <mergeCell ref="E12:H12"/>
    <mergeCell ref="E13:H13"/>
    <mergeCell ref="E14:H14"/>
    <mergeCell ref="B16:D16"/>
    <mergeCell ref="E16:H16"/>
    <mergeCell ref="E17:H17"/>
    <mergeCell ref="B51:D51"/>
    <mergeCell ref="B27:F27"/>
    <mergeCell ref="B37:L37"/>
    <mergeCell ref="B41:L41"/>
    <mergeCell ref="B40:U40"/>
    <mergeCell ref="B45:D45"/>
    <mergeCell ref="E29:H29"/>
    <mergeCell ref="E45:H45"/>
    <mergeCell ref="B29:D29"/>
    <mergeCell ref="E35:H35"/>
    <mergeCell ref="B39:Z39"/>
    <mergeCell ref="J30:N34"/>
    <mergeCell ref="E30:H30"/>
    <mergeCell ref="E31:H31"/>
    <mergeCell ref="E32:H32"/>
    <mergeCell ref="D2:H2"/>
    <mergeCell ref="E3:H3"/>
    <mergeCell ref="B4:C4"/>
    <mergeCell ref="B6:C6"/>
    <mergeCell ref="B26:D26"/>
    <mergeCell ref="E18:H18"/>
    <mergeCell ref="E19:H19"/>
    <mergeCell ref="E20:H20"/>
    <mergeCell ref="B7:H7"/>
    <mergeCell ref="B25:N25"/>
    <mergeCell ref="E33:H33"/>
    <mergeCell ref="E34:H34"/>
    <mergeCell ref="E53:H53"/>
    <mergeCell ref="E54:H54"/>
    <mergeCell ref="C52:D52"/>
    <mergeCell ref="B43:D43"/>
    <mergeCell ref="E49:H49"/>
    <mergeCell ref="E51:H51"/>
    <mergeCell ref="E52:H52"/>
    <mergeCell ref="E46:H46"/>
    <mergeCell ref="E47:H47"/>
    <mergeCell ref="E48:H48"/>
    <mergeCell ref="B38:T38"/>
  </mergeCells>
  <conditionalFormatting sqref="B11:C11 B12:B13">
    <cfRule type="expression" dxfId="41" priority="22">
      <formula>#REF!="No"</formula>
    </cfRule>
  </conditionalFormatting>
  <conditionalFormatting sqref="C35">
    <cfRule type="cellIs" dxfId="40" priority="13" operator="equal">
      <formula>"Not enough info"</formula>
    </cfRule>
    <cfRule type="cellIs" dxfId="39" priority="14" operator="equal">
      <formula>"No"</formula>
    </cfRule>
    <cfRule type="cellIs" dxfId="38" priority="15" operator="equal">
      <formula>"Yes"</formula>
    </cfRule>
  </conditionalFormatting>
  <conditionalFormatting sqref="C54">
    <cfRule type="expression" dxfId="37" priority="11">
      <formula>$D$32="No"</formula>
    </cfRule>
  </conditionalFormatting>
  <conditionalFormatting sqref="C54">
    <cfRule type="cellIs" dxfId="36" priority="8" operator="equal">
      <formula>"Not enough info"</formula>
    </cfRule>
    <cfRule type="cellIs" dxfId="35" priority="9" operator="equal">
      <formula>"No"</formula>
    </cfRule>
    <cfRule type="cellIs" dxfId="34" priority="10" operator="equal">
      <formula>"Yes"</formula>
    </cfRule>
  </conditionalFormatting>
  <conditionalFormatting sqref="C22">
    <cfRule type="expression" dxfId="33" priority="5">
      <formula>$D$35="No"</formula>
    </cfRule>
  </conditionalFormatting>
  <conditionalFormatting sqref="C22">
    <cfRule type="expression" dxfId="32" priority="4">
      <formula>$D$86="No"</formula>
    </cfRule>
  </conditionalFormatting>
  <conditionalFormatting sqref="C23">
    <cfRule type="expression" dxfId="31" priority="3">
      <formula>$D$35="No"</formula>
    </cfRule>
  </conditionalFormatting>
  <conditionalFormatting sqref="C23">
    <cfRule type="expression" dxfId="30" priority="2">
      <formula>$D$86="No"</formula>
    </cfRule>
  </conditionalFormatting>
  <conditionalFormatting sqref="B38">
    <cfRule type="expression" dxfId="29" priority="1">
      <formula>$C$35="No"</formula>
    </cfRule>
  </conditionalFormatting>
  <dataValidations count="1">
    <dataValidation type="list" allowBlank="1" showInputMessage="1" showErrorMessage="1" sqref="C11" xr:uid="{0372E1D0-010A-482E-BE83-1620196B3506}">
      <formula1>"1,1.1,1.21"</formula1>
    </dataValidation>
  </dataValidations>
  <hyperlinks>
    <hyperlink ref="B26" r:id="rId1" xr:uid="{BF96E02D-B151-4851-B564-726CC910B48A}"/>
    <hyperlink ref="B43" r:id="rId2" xr:uid="{70CDA9C1-3DD9-436A-A5D4-FF12665BFC95}"/>
    <hyperlink ref="B43:D43" r:id="rId3" display="Click here for templates folder" xr:uid="{CFEE7315-A8A9-472E-8CF3-314E68F6455C}"/>
  </hyperlinks>
  <pageMargins left="0.7" right="0.7" top="0.75" bottom="0.75" header="0.3" footer="0.3"/>
  <pageSetup orientation="portrait" r:id="rId4"/>
  <drawing r:id="rId5"/>
  <extLst>
    <ext xmlns:x14="http://schemas.microsoft.com/office/spreadsheetml/2009/9/main" uri="{78C0D931-6437-407d-A8EE-F0AAD7539E65}">
      <x14:conditionalFormattings>
        <x14:conditionalFormatting xmlns:xm="http://schemas.microsoft.com/office/excel/2006/main">
          <x14:cfRule type="expression" priority="29" id="{F388A6AA-1AF2-4086-AAD1-F80401CD6C91}">
            <xm:f>Summary!$D$21="Relief Valve"</xm:f>
            <x14:dxf>
              <font>
                <color theme="0"/>
              </font>
              <fill>
                <patternFill>
                  <bgColor theme="0"/>
                </patternFill>
              </fill>
              <border>
                <left/>
                <right/>
                <top style="thin">
                  <color auto="1"/>
                </top>
                <bottom/>
                <vertical/>
                <horizontal/>
              </border>
            </x14:dxf>
          </x14:cfRule>
          <xm:sqref>B48:D48</xm:sqref>
        </x14:conditionalFormatting>
        <x14:conditionalFormatting xmlns:xm="http://schemas.microsoft.com/office/excel/2006/main">
          <x14:cfRule type="expression" priority="26" id="{9BF58C46-D016-4E80-8361-29DEF82EB0FA}">
            <xm:f>Summary!$D$21="Relief Valve"</xm:f>
            <x14:dxf>
              <font>
                <color theme="0"/>
              </font>
              <fill>
                <patternFill>
                  <bgColor theme="0"/>
                </patternFill>
              </fill>
              <border>
                <left/>
                <right style="thin">
                  <color auto="1"/>
                </right>
                <top/>
                <bottom/>
                <vertical/>
                <horizontal/>
              </border>
            </x14:dxf>
          </x14:cfRule>
          <xm:sqref>B52</xm:sqref>
        </x14:conditionalFormatting>
        <x14:conditionalFormatting xmlns:xm="http://schemas.microsoft.com/office/excel/2006/main">
          <x14:cfRule type="expression" priority="25" id="{7D2BF5B9-E6BD-4F27-A2B5-48BF0EC9F386}">
            <xm:f>Summary!$D$21="Relief Valve"</xm:f>
            <x14:dxf>
              <font>
                <color theme="0"/>
              </font>
              <fill>
                <patternFill>
                  <bgColor theme="0"/>
                </patternFill>
              </fill>
              <border>
                <left/>
                <right style="thin">
                  <color auto="1"/>
                </right>
                <top/>
                <bottom/>
                <vertical/>
                <horizontal/>
              </border>
            </x14:dxf>
          </x14:cfRule>
          <xm:sqref>C52</xm:sqref>
        </x14:conditionalFormatting>
        <x14:conditionalFormatting xmlns:xm="http://schemas.microsoft.com/office/excel/2006/main">
          <x14:cfRule type="expression" priority="20" id="{4BC1D37A-4540-476F-A1A2-31C8348D32AB}">
            <xm:f>Summary!$D$21="Relief Valve"</xm:f>
            <x14:dxf>
              <font>
                <color theme="0"/>
              </font>
              <fill>
                <patternFill>
                  <bgColor theme="0"/>
                </patternFill>
              </fill>
              <border>
                <left/>
                <right/>
                <top/>
                <bottom/>
                <vertical/>
                <horizontal/>
              </border>
            </x14:dxf>
          </x14:cfRule>
          <xm:sqref>B18:C20</xm:sqref>
        </x14:conditionalFormatting>
        <x14:conditionalFormatting xmlns:xm="http://schemas.microsoft.com/office/excel/2006/main">
          <x14:cfRule type="expression" priority="21" id="{812554F5-B6E5-46FD-B194-BE4AD96BAE99}">
            <xm:f>Summary!$D$21="Relief Valve"</xm:f>
            <x14:dxf>
              <font>
                <color theme="0"/>
              </font>
              <fill>
                <patternFill patternType="none">
                  <bgColor auto="1"/>
                </patternFill>
              </fill>
              <border>
                <left/>
                <right/>
                <top/>
                <bottom/>
                <vertical/>
                <horizontal/>
              </border>
            </x14:dxf>
          </x14:cfRule>
          <xm:sqref>B18:C20</xm:sqref>
        </x14:conditionalFormatting>
        <x14:conditionalFormatting xmlns:xm="http://schemas.microsoft.com/office/excel/2006/main">
          <x14:cfRule type="expression" priority="19" id="{A2D68376-E171-4B23-BB04-5ECF6AC84D22}">
            <xm:f>Summary!$D$21="Relief Valve"</xm:f>
            <x14:dxf>
              <font>
                <color theme="0"/>
              </font>
              <fill>
                <patternFill patternType="none">
                  <bgColor auto="1"/>
                </patternFill>
              </fill>
              <border>
                <left/>
                <right/>
                <top/>
                <bottom/>
                <vertical/>
                <horizontal/>
              </border>
            </x14:dxf>
          </x14:cfRule>
          <xm:sqref>B16:D20</xm:sqref>
        </x14:conditionalFormatting>
        <x14:conditionalFormatting xmlns:xm="http://schemas.microsoft.com/office/excel/2006/main">
          <x14:cfRule type="expression" priority="18" id="{3CCBCBFB-9853-437B-92F6-A4F89E938B45}">
            <xm:f>Summary!$D$21="Relief Valve"</xm:f>
            <x14:dxf>
              <font>
                <color theme="0"/>
              </font>
              <fill>
                <patternFill>
                  <bgColor theme="0"/>
                </patternFill>
              </fill>
              <border>
                <left/>
                <right/>
                <top/>
                <bottom/>
                <vertical/>
                <horizontal/>
              </border>
            </x14:dxf>
          </x14:cfRule>
          <xm:sqref>B16:H20</xm:sqref>
        </x14:conditionalFormatting>
        <x14:conditionalFormatting xmlns:xm="http://schemas.microsoft.com/office/excel/2006/main">
          <x14:cfRule type="expression" priority="7" id="{C90D4FC7-ECAC-40E2-9546-CA5474CC3429}">
            <xm:f>Summary!$D$21="Relief Valve"</xm:f>
            <x14:dxf>
              <border>
                <left/>
                <right/>
                <top style="thin">
                  <color auto="1"/>
                </top>
                <bottom/>
                <vertical/>
                <horizontal/>
              </border>
            </x14:dxf>
          </x14:cfRule>
          <xm:sqref>B52:D52</xm:sqref>
        </x14:conditionalFormatting>
        <x14:conditionalFormatting xmlns:xm="http://schemas.microsoft.com/office/excel/2006/main">
          <x14:cfRule type="expression" priority="6" id="{2F3655B2-4711-404D-8CD4-8C012E749C86}">
            <xm:f>Summary!$D$21="Relief Valve"</xm:f>
            <x14:dxf>
              <border>
                <bottom style="thin">
                  <color auto="1"/>
                </bottom>
                <vertical/>
                <horizontal/>
              </border>
            </x14:dxf>
          </x14:cfRule>
          <xm:sqref>B47:D47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FFC2A45-A35E-4AFA-920B-1F23265DD4CC}">
          <x14:formula1>
            <xm:f>Fluids!$B$3:$B$22</xm:f>
          </x14:formula1>
          <xm:sqref>C31 C22:C23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5A780-070B-4DD7-A1DB-2734FE2013E4}">
  <sheetPr codeName="Sheet9"/>
  <dimension ref="A1:V60"/>
  <sheetViews>
    <sheetView showGridLines="0" zoomScaleNormal="100" workbookViewId="0">
      <selection activeCell="M27" sqref="M27"/>
    </sheetView>
  </sheetViews>
  <sheetFormatPr baseColWidth="10" defaultColWidth="9.1640625" defaultRowHeight="15" x14ac:dyDescent="0.2"/>
  <cols>
    <col min="1" max="1" width="2.83203125" customWidth="1"/>
    <col min="2" max="2" width="35.83203125" customWidth="1"/>
    <col min="3" max="3" width="16.5" customWidth="1"/>
    <col min="4" max="4" width="14.6640625" customWidth="1"/>
    <col min="5" max="8" width="12.6640625" customWidth="1"/>
    <col min="9" max="9" width="9.6640625" customWidth="1"/>
    <col min="10" max="10" width="10.5" customWidth="1"/>
  </cols>
  <sheetData>
    <row r="1" spans="1:13" ht="15" customHeight="1" x14ac:dyDescent="0.3">
      <c r="A1" s="230"/>
      <c r="B1" s="230"/>
      <c r="C1" s="230"/>
      <c r="D1" s="270"/>
      <c r="E1" s="288"/>
      <c r="F1" s="230"/>
      <c r="G1" s="230"/>
      <c r="H1" s="230"/>
      <c r="I1" s="230"/>
      <c r="J1" s="256"/>
    </row>
    <row r="2" spans="1:13" ht="100.5" customHeight="1" x14ac:dyDescent="0.2">
      <c r="A2" s="230"/>
      <c r="B2" s="231"/>
      <c r="C2" s="232"/>
      <c r="D2" s="624" t="s">
        <v>132</v>
      </c>
      <c r="E2" s="625"/>
      <c r="F2" s="625"/>
      <c r="G2" s="625"/>
      <c r="H2" s="625"/>
      <c r="I2" s="316"/>
      <c r="J2" s="317"/>
    </row>
    <row r="3" spans="1:13" ht="14.25" customHeight="1" x14ac:dyDescent="0.2">
      <c r="A3" s="230"/>
      <c r="B3" s="203" t="s">
        <v>160</v>
      </c>
      <c r="C3" s="204"/>
      <c r="D3" s="205" t="s">
        <v>161</v>
      </c>
      <c r="E3" s="547" t="s">
        <v>162</v>
      </c>
      <c r="F3" s="548"/>
      <c r="G3" s="548"/>
      <c r="H3" s="549"/>
    </row>
    <row r="4" spans="1:13" ht="14.25" customHeight="1" x14ac:dyDescent="0.2">
      <c r="A4" s="230"/>
      <c r="B4" s="258" t="str">
        <f>IF(Summary!B4="","",Summary!B4)</f>
        <v/>
      </c>
      <c r="C4" s="259"/>
      <c r="D4" s="201" t="str">
        <f>IF(Summary!D4="","",Summary!D4)</f>
        <v/>
      </c>
      <c r="E4" s="202" t="s">
        <v>22</v>
      </c>
      <c r="F4" s="202" t="s">
        <v>23</v>
      </c>
      <c r="G4" s="202" t="s">
        <v>24</v>
      </c>
      <c r="H4" s="202" t="s">
        <v>1</v>
      </c>
    </row>
    <row r="5" spans="1:13" ht="14.25" customHeight="1" x14ac:dyDescent="0.2">
      <c r="A5" s="230"/>
      <c r="B5" s="203" t="s">
        <v>1</v>
      </c>
      <c r="C5" s="204"/>
      <c r="D5" s="205" t="s">
        <v>23</v>
      </c>
      <c r="E5" s="206"/>
      <c r="F5" s="207"/>
      <c r="G5" s="260"/>
      <c r="H5" s="261"/>
    </row>
    <row r="6" spans="1:13" ht="14.25" customHeight="1" x14ac:dyDescent="0.2">
      <c r="A6" s="230"/>
      <c r="B6" s="590" t="s">
        <v>164</v>
      </c>
      <c r="C6" s="591"/>
      <c r="D6" s="209" t="str">
        <f>IF(Summary!D6="","",Summary!D6)</f>
        <v/>
      </c>
      <c r="E6" s="206"/>
      <c r="F6" s="207"/>
      <c r="G6" s="208"/>
      <c r="H6" s="261"/>
    </row>
    <row r="8" spans="1:13" ht="15" customHeight="1" x14ac:dyDescent="0.2">
      <c r="B8" s="617" t="s">
        <v>102</v>
      </c>
      <c r="C8" s="618"/>
      <c r="D8" s="619"/>
      <c r="E8" s="610" t="s">
        <v>10</v>
      </c>
      <c r="F8" s="611"/>
      <c r="G8" s="611"/>
      <c r="H8" s="612"/>
    </row>
    <row r="9" spans="1:13" ht="15" customHeight="1" x14ac:dyDescent="0.2">
      <c r="B9" s="318" t="s">
        <v>1</v>
      </c>
      <c r="C9" s="319" t="s">
        <v>27</v>
      </c>
      <c r="D9" s="320" t="s">
        <v>32</v>
      </c>
      <c r="E9" s="530"/>
      <c r="F9" s="531"/>
      <c r="G9" s="531"/>
      <c r="H9" s="532"/>
    </row>
    <row r="10" spans="1:13" ht="15" customHeight="1" x14ac:dyDescent="0.2">
      <c r="B10" s="145" t="s">
        <v>30</v>
      </c>
      <c r="C10" s="151" t="str">
        <f>IF(Summary!D14="","",Summary!D14)</f>
        <v/>
      </c>
      <c r="D10" s="266" t="s">
        <v>43</v>
      </c>
      <c r="E10" s="531"/>
      <c r="F10" s="531"/>
      <c r="G10" s="531"/>
      <c r="H10" s="532"/>
      <c r="M10" s="136"/>
    </row>
    <row r="11" spans="1:13" ht="15" customHeight="1" x14ac:dyDescent="0.2">
      <c r="B11" s="146" t="s">
        <v>165</v>
      </c>
      <c r="C11" s="122"/>
      <c r="D11" s="267" t="s">
        <v>190</v>
      </c>
      <c r="E11" s="531"/>
      <c r="F11" s="531"/>
      <c r="G11" s="531"/>
      <c r="H11" s="532"/>
      <c r="M11" s="136"/>
    </row>
    <row r="12" spans="1:13" ht="15" customHeight="1" x14ac:dyDescent="0.2">
      <c r="B12" s="268" t="s">
        <v>147</v>
      </c>
      <c r="C12" s="269" t="str">
        <f>IF(OR(C10="",C11=""),"",C10*C11)</f>
        <v/>
      </c>
      <c r="D12" s="267" t="s">
        <v>43</v>
      </c>
      <c r="E12" s="531"/>
      <c r="F12" s="531"/>
      <c r="G12" s="531"/>
      <c r="H12" s="532"/>
    </row>
    <row r="13" spans="1:13" ht="15" customHeight="1" x14ac:dyDescent="0.2">
      <c r="B13" s="146" t="str">
        <f>IF(Summary!$D$21="Relief Valve","ASME Set Pressure","ASME Burst Pressure ")</f>
        <v xml:space="preserve">ASME Burst Pressure </v>
      </c>
      <c r="C13" s="150" t="str">
        <f>IF(Summary!$D$22="","",Summary!$D$22)</f>
        <v/>
      </c>
      <c r="D13" s="267" t="s">
        <v>43</v>
      </c>
      <c r="E13" s="531"/>
      <c r="F13" s="531"/>
      <c r="G13" s="531"/>
      <c r="H13" s="532"/>
    </row>
    <row r="14" spans="1:13" ht="15" customHeight="1" x14ac:dyDescent="0.2">
      <c r="B14" s="147" t="s">
        <v>148</v>
      </c>
      <c r="C14" s="271" t="str">
        <f>IF(Summary!D21="Relief Valve",IF(OR(C12="",C13=""),"",C12-C13),IF(OR(C12="",C20=""),"",C12-C20))</f>
        <v/>
      </c>
      <c r="D14" s="272" t="s">
        <v>43</v>
      </c>
      <c r="E14" s="534"/>
      <c r="F14" s="534"/>
      <c r="G14" s="534"/>
      <c r="H14" s="535"/>
    </row>
    <row r="15" spans="1:13" ht="15" customHeight="1" x14ac:dyDescent="0.2"/>
    <row r="16" spans="1:13" ht="15" customHeight="1" x14ac:dyDescent="0.2">
      <c r="B16" s="617" t="s">
        <v>122</v>
      </c>
      <c r="C16" s="618"/>
      <c r="D16" s="619"/>
      <c r="E16" s="621" t="s">
        <v>10</v>
      </c>
      <c r="F16" s="622"/>
      <c r="G16" s="622"/>
      <c r="H16" s="623"/>
    </row>
    <row r="17" spans="2:22" ht="15" customHeight="1" x14ac:dyDescent="0.2">
      <c r="B17" s="318" t="s">
        <v>1</v>
      </c>
      <c r="C17" s="319" t="s">
        <v>27</v>
      </c>
      <c r="D17" s="320" t="s">
        <v>32</v>
      </c>
      <c r="E17" s="530"/>
      <c r="F17" s="531"/>
      <c r="G17" s="531"/>
      <c r="H17" s="532"/>
    </row>
    <row r="18" spans="2:22" ht="15" customHeight="1" x14ac:dyDescent="0.2">
      <c r="B18" s="97" t="s">
        <v>127</v>
      </c>
      <c r="C18" s="124" t="str">
        <f>IF(Summary!D27="","",Summary!D27)</f>
        <v/>
      </c>
      <c r="D18" s="278"/>
      <c r="E18" s="530"/>
      <c r="F18" s="531"/>
      <c r="G18" s="531"/>
      <c r="H18" s="532"/>
    </row>
    <row r="19" spans="2:22" ht="15" customHeight="1" x14ac:dyDescent="0.2">
      <c r="B19" s="148" t="s">
        <v>126</v>
      </c>
      <c r="C19" s="149" t="str">
        <f>IF(Summary!D28="","",Summary!D28)</f>
        <v/>
      </c>
      <c r="D19" s="267"/>
      <c r="E19" s="530"/>
      <c r="F19" s="531"/>
      <c r="G19" s="531"/>
      <c r="H19" s="532"/>
    </row>
    <row r="20" spans="2:22" ht="15" customHeight="1" x14ac:dyDescent="0.2">
      <c r="B20" s="123" t="s">
        <v>189</v>
      </c>
      <c r="C20" s="26" t="str">
        <f>IF(OR(C16="",C18="",C19="",Summary!D29=""),"",C13*(1+C18)*(1+C19)*Summary!D29)</f>
        <v/>
      </c>
      <c r="D20" s="280" t="s">
        <v>43</v>
      </c>
      <c r="E20" s="533"/>
      <c r="F20" s="534"/>
      <c r="G20" s="534"/>
      <c r="H20" s="535"/>
    </row>
    <row r="22" spans="2:22" x14ac:dyDescent="0.2">
      <c r="B22" s="363" t="s">
        <v>197</v>
      </c>
      <c r="C22" s="363"/>
      <c r="D22" s="363"/>
      <c r="E22" s="363"/>
      <c r="F22" s="363"/>
      <c r="G22" s="363"/>
      <c r="H22" s="363"/>
    </row>
    <row r="23" spans="2:22" x14ac:dyDescent="0.2">
      <c r="B23" s="363"/>
      <c r="C23" s="363"/>
      <c r="D23" s="363"/>
      <c r="E23" s="363"/>
      <c r="F23" s="363"/>
      <c r="G23" s="363"/>
      <c r="H23" s="363"/>
    </row>
    <row r="24" spans="2:22" x14ac:dyDescent="0.2">
      <c r="B24" s="363"/>
      <c r="C24" s="363"/>
      <c r="D24" s="363"/>
      <c r="E24" s="363"/>
      <c r="F24" s="363"/>
      <c r="G24" s="363"/>
      <c r="H24" s="363"/>
    </row>
    <row r="26" spans="2:22" x14ac:dyDescent="0.2">
      <c r="B26" s="617" t="s">
        <v>120</v>
      </c>
      <c r="C26" s="618"/>
      <c r="D26" s="619"/>
      <c r="E26" s="610" t="s">
        <v>10</v>
      </c>
      <c r="F26" s="611"/>
      <c r="G26" s="611"/>
      <c r="H26" s="612"/>
    </row>
    <row r="27" spans="2:22" x14ac:dyDescent="0.2">
      <c r="B27" s="318" t="s">
        <v>1</v>
      </c>
      <c r="C27" s="319" t="s">
        <v>27</v>
      </c>
      <c r="D27" s="320" t="s">
        <v>32</v>
      </c>
      <c r="E27" s="530"/>
      <c r="F27" s="531"/>
      <c r="G27" s="531"/>
      <c r="H27" s="532"/>
    </row>
    <row r="28" spans="2:22" x14ac:dyDescent="0.2">
      <c r="B28" s="178" t="s">
        <v>40</v>
      </c>
      <c r="C28" s="330"/>
      <c r="D28" s="179"/>
      <c r="E28" s="531"/>
      <c r="F28" s="531"/>
      <c r="G28" s="531"/>
      <c r="H28" s="532"/>
      <c r="V28" s="230"/>
    </row>
    <row r="29" spans="2:22" x14ac:dyDescent="0.2">
      <c r="B29" s="180" t="s">
        <v>144</v>
      </c>
      <c r="C29" s="329"/>
      <c r="D29" s="181" t="s">
        <v>76</v>
      </c>
      <c r="E29" s="531"/>
      <c r="F29" s="531"/>
      <c r="G29" s="531"/>
      <c r="H29" s="532"/>
      <c r="V29" s="230"/>
    </row>
    <row r="30" spans="2:22" x14ac:dyDescent="0.2">
      <c r="B30" s="156" t="s">
        <v>79</v>
      </c>
      <c r="C30" s="152" t="str">
        <f>IF(C29="","",C29/0.9)</f>
        <v/>
      </c>
      <c r="D30" s="157" t="s">
        <v>76</v>
      </c>
      <c r="E30" s="531"/>
      <c r="F30" s="531"/>
      <c r="G30" s="531"/>
      <c r="H30" s="532"/>
      <c r="V30" s="230"/>
    </row>
    <row r="31" spans="2:22" x14ac:dyDescent="0.2">
      <c r="B31" s="321" t="s">
        <v>137</v>
      </c>
      <c r="C31" s="322" t="str">
        <f>IF(OR(C28="",C30=""),"",70.5*C30*VLOOKUP(C28,Fluids!B2:E22,2,FALSE)/VLOOKUP(C28,Fluids!B2:E22,4,FALSE))</f>
        <v/>
      </c>
      <c r="D31" s="323" t="s">
        <v>138</v>
      </c>
      <c r="E31" s="531"/>
      <c r="F31" s="531"/>
      <c r="G31" s="531"/>
      <c r="H31" s="532"/>
      <c r="V31" s="230"/>
    </row>
    <row r="32" spans="2:22" x14ac:dyDescent="0.2">
      <c r="B32" s="324" t="s">
        <v>182</v>
      </c>
      <c r="C32" s="175" t="str">
        <f>IF(C31="","Not enough info",IF(MAX(C31,'Case 2 - Nitrogen Cntrl Failure'!C46,'Case 2 - Nitrogen Cntrl Failure'!C30,'Case 1 - External Fire'!C37,'Case 3 - Split Exchanger Tube'!C34)=C31,"Yes","No"))</f>
        <v>Not enough info</v>
      </c>
      <c r="D32" s="325"/>
      <c r="E32" s="534"/>
      <c r="F32" s="534"/>
      <c r="G32" s="534"/>
      <c r="H32" s="535"/>
      <c r="V32" s="230"/>
    </row>
    <row r="33" spans="2:22" x14ac:dyDescent="0.2">
      <c r="B33" s="620"/>
      <c r="C33" s="620"/>
      <c r="D33" s="326"/>
      <c r="E33" s="327"/>
      <c r="V33" s="230"/>
    </row>
    <row r="34" spans="2:22" x14ac:dyDescent="0.2">
      <c r="B34" s="474" t="s">
        <v>154</v>
      </c>
      <c r="C34" s="474"/>
      <c r="D34" s="474"/>
      <c r="E34" s="474"/>
      <c r="F34" s="474"/>
      <c r="G34" s="474"/>
      <c r="H34" s="474"/>
      <c r="I34" s="474"/>
      <c r="J34" s="474"/>
      <c r="K34" s="474"/>
      <c r="L34" s="474"/>
      <c r="M34" s="230"/>
      <c r="N34" s="230"/>
      <c r="O34" s="230"/>
      <c r="P34" s="230"/>
      <c r="Q34" s="230"/>
      <c r="R34" s="230"/>
      <c r="S34" s="230"/>
      <c r="T34" s="230"/>
      <c r="U34" s="230"/>
      <c r="V34" s="230"/>
    </row>
    <row r="35" spans="2:22" x14ac:dyDescent="0.2">
      <c r="B35" s="54" t="s">
        <v>172</v>
      </c>
      <c r="C35" s="54"/>
      <c r="D35" s="54"/>
      <c r="E35" s="54"/>
      <c r="F35" s="54"/>
      <c r="G35" s="54"/>
      <c r="H35" s="54"/>
      <c r="I35" s="54"/>
      <c r="J35" s="54"/>
      <c r="K35" s="54"/>
      <c r="L35" s="54"/>
      <c r="M35" s="54"/>
      <c r="N35" s="54"/>
      <c r="O35" s="54"/>
      <c r="P35" s="54"/>
      <c r="Q35" s="54"/>
      <c r="R35" s="54"/>
      <c r="S35" s="54"/>
      <c r="T35" s="54"/>
      <c r="U35" s="54"/>
      <c r="V35" s="230"/>
    </row>
    <row r="36" spans="2:22" x14ac:dyDescent="0.2">
      <c r="B36" s="54" t="s">
        <v>174</v>
      </c>
      <c r="C36" s="54"/>
      <c r="D36" s="54"/>
      <c r="E36" s="54"/>
      <c r="F36" s="54"/>
      <c r="G36" s="54"/>
      <c r="H36" s="54"/>
      <c r="I36" s="54"/>
      <c r="J36" s="54"/>
      <c r="K36" s="54"/>
      <c r="L36" s="54"/>
      <c r="M36" s="54"/>
      <c r="N36" s="54"/>
      <c r="O36" s="54"/>
      <c r="P36" s="54"/>
      <c r="Q36" s="288"/>
      <c r="R36" s="288"/>
      <c r="S36" s="288"/>
      <c r="T36" s="230"/>
      <c r="U36" s="230"/>
      <c r="V36" s="230"/>
    </row>
    <row r="37" spans="2:22" x14ac:dyDescent="0.2">
      <c r="B37" s="474" t="s">
        <v>168</v>
      </c>
      <c r="C37" s="474"/>
      <c r="D37" s="474"/>
      <c r="E37" s="474"/>
      <c r="F37" s="474"/>
      <c r="G37" s="474"/>
      <c r="H37" s="474"/>
      <c r="I37" s="474"/>
      <c r="J37" s="474"/>
      <c r="K37" s="474"/>
      <c r="L37" s="474"/>
      <c r="M37" s="230"/>
      <c r="N37" s="230"/>
      <c r="O37" s="230"/>
      <c r="P37" s="230"/>
      <c r="Q37" s="230"/>
      <c r="R37" s="230"/>
      <c r="S37" s="230"/>
      <c r="T37" s="230"/>
      <c r="U37" s="230"/>
      <c r="V37" s="230"/>
    </row>
    <row r="38" spans="2:22" ht="15" customHeight="1" x14ac:dyDescent="0.2">
      <c r="B38" s="491" t="s">
        <v>196</v>
      </c>
      <c r="C38" s="491"/>
      <c r="D38" s="491"/>
      <c r="E38" s="491"/>
      <c r="F38" s="491"/>
      <c r="G38" s="491"/>
      <c r="H38" s="491"/>
      <c r="I38" s="491"/>
      <c r="J38" s="491"/>
      <c r="K38" s="491"/>
      <c r="L38" s="491"/>
      <c r="M38" s="230"/>
      <c r="N38" s="230"/>
      <c r="O38" s="230"/>
      <c r="P38" s="230"/>
      <c r="Q38" s="230"/>
      <c r="R38" s="230"/>
      <c r="S38" s="230"/>
      <c r="T38" s="230"/>
      <c r="U38" s="230"/>
      <c r="V38" s="230"/>
    </row>
    <row r="39" spans="2:22" ht="15" customHeight="1" x14ac:dyDescent="0.2">
      <c r="B39" s="24"/>
      <c r="C39" s="24"/>
      <c r="D39" s="24"/>
      <c r="E39" s="24"/>
      <c r="F39" s="24"/>
      <c r="G39" s="24"/>
      <c r="H39" s="24"/>
      <c r="I39" s="24"/>
      <c r="J39" s="24"/>
      <c r="K39" s="24"/>
      <c r="L39" s="24"/>
      <c r="M39" s="230"/>
      <c r="N39" s="230"/>
      <c r="O39" s="230"/>
      <c r="P39" s="230"/>
      <c r="Q39" s="230"/>
      <c r="R39" s="230"/>
      <c r="S39" s="230"/>
      <c r="T39" s="230"/>
      <c r="U39" s="230"/>
      <c r="V39" s="230"/>
    </row>
    <row r="40" spans="2:22" ht="15" customHeight="1" x14ac:dyDescent="0.2">
      <c r="B40" s="339" t="s">
        <v>99</v>
      </c>
      <c r="C40" s="512" t="s">
        <v>105</v>
      </c>
      <c r="D40" s="512"/>
      <c r="E40" s="512"/>
      <c r="F40" s="512"/>
      <c r="G40" s="512"/>
      <c r="H40" s="512"/>
      <c r="I40" s="24"/>
      <c r="J40" s="24"/>
      <c r="K40" s="24"/>
      <c r="L40" s="24"/>
      <c r="M40" s="230"/>
      <c r="N40" s="230"/>
      <c r="O40" s="230"/>
      <c r="P40" s="230"/>
      <c r="Q40" s="230"/>
      <c r="R40" s="230"/>
      <c r="S40" s="230"/>
      <c r="T40" s="230"/>
      <c r="U40" s="230"/>
      <c r="V40" s="230"/>
    </row>
    <row r="41" spans="2:22" ht="15" customHeight="1" x14ac:dyDescent="0.2">
      <c r="B41" s="230"/>
      <c r="C41" s="230"/>
      <c r="D41" s="270"/>
      <c r="E41" s="288"/>
      <c r="F41" s="230"/>
      <c r="G41" s="230"/>
      <c r="H41" s="230"/>
      <c r="I41" s="230"/>
      <c r="J41" s="257"/>
      <c r="K41" s="230"/>
      <c r="L41" s="230"/>
      <c r="M41" s="230"/>
      <c r="N41" s="230"/>
      <c r="O41" s="230"/>
      <c r="P41" s="230"/>
      <c r="Q41" s="230"/>
      <c r="R41" s="230"/>
      <c r="S41" s="230"/>
      <c r="T41" s="230"/>
      <c r="U41" s="230"/>
      <c r="V41" s="230"/>
    </row>
    <row r="42" spans="2:22" ht="15" customHeight="1" x14ac:dyDescent="0.2">
      <c r="B42" s="610" t="s">
        <v>155</v>
      </c>
      <c r="C42" s="611"/>
      <c r="D42" s="612"/>
      <c r="E42" s="610" t="s">
        <v>10</v>
      </c>
      <c r="F42" s="611"/>
      <c r="G42" s="611"/>
      <c r="H42" s="612"/>
      <c r="I42" s="230"/>
      <c r="J42" s="230"/>
      <c r="K42" s="230"/>
      <c r="L42" s="230"/>
      <c r="M42" s="230"/>
      <c r="N42" s="230"/>
      <c r="O42" s="230"/>
      <c r="P42" s="230"/>
      <c r="Q42" s="230"/>
      <c r="R42" s="230"/>
      <c r="S42" s="230"/>
      <c r="T42" s="230"/>
      <c r="U42" s="230"/>
      <c r="V42" s="230"/>
    </row>
    <row r="43" spans="2:22" ht="15" customHeight="1" x14ac:dyDescent="0.2">
      <c r="B43" s="328" t="s">
        <v>1</v>
      </c>
      <c r="C43" s="319" t="s">
        <v>27</v>
      </c>
      <c r="D43" s="320" t="s">
        <v>32</v>
      </c>
      <c r="E43" s="530"/>
      <c r="F43" s="531"/>
      <c r="G43" s="531"/>
      <c r="H43" s="532"/>
      <c r="I43" s="230"/>
      <c r="J43" s="230"/>
      <c r="K43" s="230"/>
      <c r="L43" s="230"/>
      <c r="M43" s="230"/>
      <c r="N43" s="230"/>
      <c r="O43" s="230"/>
      <c r="P43" s="230"/>
      <c r="Q43" s="230"/>
      <c r="R43" s="230"/>
      <c r="S43" s="230"/>
      <c r="T43" s="230"/>
      <c r="U43" s="230"/>
      <c r="V43" s="230"/>
    </row>
    <row r="44" spans="2:22" ht="15" customHeight="1" x14ac:dyDescent="0.2">
      <c r="B44" s="125" t="s">
        <v>37</v>
      </c>
      <c r="C44" s="128"/>
      <c r="D44" s="250" t="s">
        <v>43</v>
      </c>
      <c r="E44" s="531"/>
      <c r="F44" s="531"/>
      <c r="G44" s="531"/>
      <c r="H44" s="532"/>
      <c r="I44" s="230"/>
      <c r="J44" s="230"/>
      <c r="K44" s="230"/>
      <c r="L44" s="230"/>
      <c r="M44" s="230"/>
      <c r="N44" s="230"/>
      <c r="O44" s="230"/>
      <c r="P44" s="230"/>
      <c r="Q44" s="230"/>
      <c r="R44" s="230"/>
      <c r="S44" s="230"/>
      <c r="T44" s="230"/>
      <c r="U44" s="230"/>
      <c r="V44" s="230"/>
    </row>
    <row r="45" spans="2:22" ht="15" customHeight="1" x14ac:dyDescent="0.2">
      <c r="B45" s="159" t="s">
        <v>39</v>
      </c>
      <c r="C45" s="127"/>
      <c r="D45" s="299" t="s">
        <v>43</v>
      </c>
      <c r="E45" s="531"/>
      <c r="F45" s="531"/>
      <c r="G45" s="531"/>
      <c r="H45" s="532"/>
      <c r="I45" s="230"/>
      <c r="J45" s="230"/>
      <c r="K45" s="230"/>
      <c r="L45" s="230"/>
      <c r="M45" s="230"/>
      <c r="N45" s="230"/>
      <c r="O45" s="230"/>
      <c r="P45" s="230"/>
      <c r="Q45" s="230"/>
      <c r="R45" s="230"/>
      <c r="S45" s="230"/>
      <c r="T45" s="230"/>
      <c r="U45" s="230"/>
      <c r="V45" s="230"/>
    </row>
    <row r="46" spans="2:22" ht="15" customHeight="1" x14ac:dyDescent="0.2">
      <c r="B46" s="99" t="s">
        <v>169</v>
      </c>
      <c r="C46" s="154" t="str">
        <f>IF(Summary!D21="Relief Valve",IF(OR(C44="",C13=""),"",C13+C44),IF(OR(C44="",C20=""),"",C44+C20))</f>
        <v/>
      </c>
      <c r="D46" s="252" t="s">
        <v>43</v>
      </c>
      <c r="E46" s="534"/>
      <c r="F46" s="534"/>
      <c r="G46" s="534"/>
      <c r="H46" s="535"/>
      <c r="I46" s="230"/>
      <c r="J46" s="230"/>
      <c r="K46" s="230"/>
      <c r="L46" s="230"/>
      <c r="M46" s="230"/>
      <c r="N46" s="230"/>
      <c r="O46" s="230"/>
      <c r="P46" s="230"/>
      <c r="Q46" s="230"/>
      <c r="R46" s="230"/>
      <c r="S46" s="230"/>
      <c r="T46" s="230"/>
      <c r="U46" s="230"/>
      <c r="V46" s="230"/>
    </row>
    <row r="47" spans="2:22" ht="15" customHeight="1" x14ac:dyDescent="0.2">
      <c r="B47" s="230"/>
      <c r="C47" s="230"/>
      <c r="D47" s="230"/>
      <c r="E47" s="230"/>
      <c r="F47" s="230"/>
      <c r="G47" s="230"/>
      <c r="H47" s="230"/>
      <c r="I47" s="230"/>
      <c r="J47" s="230"/>
      <c r="K47" s="230"/>
      <c r="L47" s="230"/>
      <c r="M47" s="230"/>
      <c r="N47" s="230"/>
      <c r="O47" s="230"/>
      <c r="P47" s="230"/>
      <c r="Q47" s="230"/>
      <c r="R47" s="230"/>
      <c r="S47" s="230"/>
      <c r="T47" s="230"/>
      <c r="U47" s="230"/>
      <c r="V47" s="230"/>
    </row>
    <row r="48" spans="2:22" ht="15" customHeight="1" x14ac:dyDescent="0.2">
      <c r="B48" s="613" t="s">
        <v>159</v>
      </c>
      <c r="C48" s="613"/>
      <c r="D48" s="613"/>
      <c r="E48" s="610" t="s">
        <v>10</v>
      </c>
      <c r="F48" s="611"/>
      <c r="G48" s="611"/>
      <c r="H48" s="612"/>
      <c r="I48" s="230"/>
      <c r="J48" s="257"/>
      <c r="K48" s="230"/>
      <c r="L48" s="230"/>
      <c r="M48" s="230"/>
      <c r="N48" s="230"/>
      <c r="O48" s="230"/>
      <c r="P48" s="230"/>
      <c r="Q48" s="230"/>
      <c r="R48" s="230"/>
      <c r="S48" s="230"/>
      <c r="T48" s="230"/>
      <c r="U48" s="230"/>
      <c r="V48" s="230"/>
    </row>
    <row r="49" spans="2:22" ht="15" customHeight="1" x14ac:dyDescent="0.2">
      <c r="B49" s="100" t="s">
        <v>170</v>
      </c>
      <c r="C49" s="567" t="str">
        <f>IF(OR(C45="",C2=""),"",IF(C45&lt;C2,"Yes","No"))</f>
        <v/>
      </c>
      <c r="D49" s="568"/>
      <c r="E49" s="530"/>
      <c r="F49" s="531"/>
      <c r="G49" s="531"/>
      <c r="H49" s="532"/>
      <c r="I49" s="230"/>
      <c r="J49" s="230"/>
      <c r="K49" s="230"/>
      <c r="L49" s="230"/>
      <c r="M49" s="230"/>
      <c r="N49" s="230"/>
      <c r="O49" s="230"/>
      <c r="P49" s="230"/>
      <c r="Q49" s="230"/>
      <c r="R49" s="230"/>
      <c r="S49" s="230"/>
      <c r="T49" s="230"/>
      <c r="U49" s="230"/>
      <c r="V49" s="230"/>
    </row>
    <row r="50" spans="2:22" ht="15" customHeight="1" x14ac:dyDescent="0.2">
      <c r="B50" s="169" t="s">
        <v>171</v>
      </c>
      <c r="C50" s="565" t="str">
        <f>IF(C46="","",IF(C46&lt;C12,"Yes","No"))</f>
        <v/>
      </c>
      <c r="D50" s="566"/>
      <c r="E50" s="531"/>
      <c r="F50" s="531"/>
      <c r="G50" s="531"/>
      <c r="H50" s="532"/>
      <c r="I50" s="230"/>
      <c r="J50" s="257"/>
      <c r="K50" s="230"/>
      <c r="L50" s="230"/>
      <c r="M50" s="230"/>
      <c r="N50" s="230"/>
      <c r="O50" s="230"/>
      <c r="P50" s="230"/>
      <c r="Q50" s="230"/>
      <c r="R50" s="230"/>
      <c r="S50" s="230"/>
      <c r="T50" s="230"/>
      <c r="U50" s="230"/>
      <c r="V50" s="230"/>
    </row>
    <row r="51" spans="2:22" ht="15" customHeight="1" x14ac:dyDescent="0.2">
      <c r="B51" s="68" t="s">
        <v>107</v>
      </c>
      <c r="C51" s="503" t="str">
        <f>IF(AND(Summary!D21="Relief Valve",C50="Yes"),"Yes",IF(C50="","Not enough info",IF(AND(C50="Yes",C49="Yes"),"Yes","No")))</f>
        <v>Not enough info</v>
      </c>
      <c r="D51" s="504"/>
      <c r="E51" s="534"/>
      <c r="F51" s="534"/>
      <c r="G51" s="534"/>
      <c r="H51" s="535"/>
      <c r="I51" s="230"/>
      <c r="J51" s="257"/>
      <c r="K51" s="230"/>
      <c r="L51" s="230"/>
      <c r="M51" s="230"/>
      <c r="N51" s="230"/>
      <c r="O51" s="230"/>
      <c r="P51" s="230"/>
      <c r="Q51" s="230"/>
      <c r="R51" s="230"/>
      <c r="S51" s="230"/>
      <c r="T51" s="230"/>
      <c r="U51" s="230"/>
      <c r="V51" s="230"/>
    </row>
    <row r="52" spans="2:22" x14ac:dyDescent="0.2">
      <c r="B52" s="230"/>
      <c r="C52" s="230"/>
      <c r="D52" s="270"/>
      <c r="E52" s="288"/>
      <c r="F52" s="230"/>
      <c r="G52" s="230"/>
      <c r="H52" s="24"/>
      <c r="I52" s="24"/>
      <c r="J52" s="275"/>
      <c r="K52" s="230"/>
      <c r="L52" s="230"/>
      <c r="M52" s="230"/>
      <c r="N52" s="230"/>
      <c r="O52" s="230"/>
      <c r="P52" s="230"/>
      <c r="Q52" s="230"/>
      <c r="R52" s="230"/>
      <c r="S52" s="230"/>
      <c r="T52" s="230"/>
      <c r="U52" s="230"/>
      <c r="V52" s="230"/>
    </row>
    <row r="53" spans="2:22" x14ac:dyDescent="0.2">
      <c r="B53" s="230"/>
      <c r="C53" s="230"/>
      <c r="D53" s="270"/>
      <c r="E53" s="288"/>
      <c r="F53" s="230"/>
      <c r="G53" s="230"/>
      <c r="H53" s="230"/>
      <c r="I53" s="230"/>
      <c r="J53" s="257"/>
      <c r="K53" s="230"/>
      <c r="L53" s="230"/>
      <c r="M53" s="230"/>
      <c r="N53" s="230"/>
      <c r="O53" s="230"/>
      <c r="P53" s="230"/>
      <c r="Q53" s="230"/>
      <c r="R53" s="230"/>
      <c r="S53" s="230"/>
      <c r="T53" s="230"/>
      <c r="U53" s="230"/>
      <c r="V53" s="230"/>
    </row>
    <row r="54" spans="2:22" x14ac:dyDescent="0.2">
      <c r="B54" s="614" t="s">
        <v>166</v>
      </c>
      <c r="C54" s="615"/>
      <c r="D54" s="615"/>
      <c r="E54" s="616"/>
      <c r="F54" s="230"/>
      <c r="G54" s="230"/>
      <c r="H54" s="230"/>
      <c r="I54" s="230"/>
      <c r="J54" s="257"/>
      <c r="K54" s="230"/>
      <c r="L54" s="230"/>
      <c r="M54" s="230"/>
      <c r="N54" s="230"/>
      <c r="O54" s="230"/>
      <c r="P54" s="230"/>
      <c r="Q54" s="230"/>
      <c r="R54" s="230"/>
      <c r="S54" s="230"/>
      <c r="T54" s="230"/>
      <c r="U54" s="230"/>
      <c r="V54" s="230"/>
    </row>
    <row r="55" spans="2:22" x14ac:dyDescent="0.2">
      <c r="B55" s="492"/>
      <c r="C55" s="493"/>
      <c r="D55" s="493"/>
      <c r="E55" s="494"/>
      <c r="F55" s="230"/>
      <c r="G55" s="230"/>
      <c r="H55" s="230"/>
      <c r="I55" s="230"/>
      <c r="J55" s="257"/>
      <c r="K55" s="230"/>
      <c r="L55" s="230"/>
      <c r="M55" s="230"/>
      <c r="N55" s="230"/>
      <c r="O55" s="230"/>
      <c r="P55" s="230"/>
      <c r="Q55" s="230"/>
      <c r="R55" s="230"/>
      <c r="S55" s="230"/>
      <c r="T55" s="230"/>
      <c r="U55" s="230"/>
    </row>
    <row r="56" spans="2:22" x14ac:dyDescent="0.2">
      <c r="B56" s="495"/>
      <c r="C56" s="496"/>
      <c r="D56" s="496"/>
      <c r="E56" s="497"/>
      <c r="F56" s="230"/>
      <c r="G56" s="230"/>
      <c r="H56" s="230"/>
      <c r="I56" s="230"/>
      <c r="J56" s="257"/>
      <c r="K56" s="230"/>
      <c r="L56" s="230"/>
      <c r="M56" s="230"/>
      <c r="N56" s="230"/>
      <c r="O56" s="230"/>
      <c r="P56" s="230"/>
      <c r="Q56" s="230"/>
      <c r="R56" s="230"/>
      <c r="S56" s="230"/>
      <c r="T56" s="230"/>
      <c r="U56" s="230"/>
    </row>
    <row r="57" spans="2:22" x14ac:dyDescent="0.2">
      <c r="B57" s="495"/>
      <c r="C57" s="496"/>
      <c r="D57" s="496"/>
      <c r="E57" s="497"/>
      <c r="F57" s="230"/>
      <c r="G57" s="230"/>
      <c r="H57" s="230"/>
      <c r="I57" s="230"/>
      <c r="J57" s="257"/>
      <c r="K57" s="230"/>
      <c r="L57" s="230"/>
      <c r="M57" s="230"/>
      <c r="N57" s="230"/>
      <c r="O57" s="230"/>
      <c r="P57" s="230"/>
      <c r="Q57" s="230"/>
      <c r="R57" s="230"/>
      <c r="S57" s="230"/>
      <c r="T57" s="230"/>
      <c r="U57" s="230"/>
    </row>
    <row r="58" spans="2:22" x14ac:dyDescent="0.2">
      <c r="B58" s="495"/>
      <c r="C58" s="496"/>
      <c r="D58" s="496"/>
      <c r="E58" s="497"/>
      <c r="F58" s="230"/>
      <c r="G58" s="230"/>
      <c r="H58" s="230"/>
      <c r="I58" s="230"/>
      <c r="J58" s="257"/>
      <c r="K58" s="230"/>
      <c r="L58" s="230"/>
      <c r="M58" s="230"/>
      <c r="N58" s="230"/>
      <c r="O58" s="230"/>
      <c r="P58" s="230"/>
      <c r="Q58" s="230"/>
      <c r="R58" s="230"/>
      <c r="S58" s="230"/>
      <c r="T58" s="230"/>
      <c r="U58" s="230"/>
    </row>
    <row r="59" spans="2:22" x14ac:dyDescent="0.2">
      <c r="B59" s="495"/>
      <c r="C59" s="496"/>
      <c r="D59" s="496"/>
      <c r="E59" s="497"/>
      <c r="F59" s="230"/>
      <c r="G59" s="230"/>
      <c r="H59" s="230"/>
      <c r="I59" s="230"/>
      <c r="J59" s="257"/>
      <c r="K59" s="230"/>
      <c r="L59" s="230"/>
      <c r="M59" s="230"/>
      <c r="N59" s="230"/>
      <c r="O59" s="230"/>
      <c r="P59" s="230"/>
      <c r="Q59" s="230"/>
      <c r="R59" s="230"/>
      <c r="S59" s="230"/>
      <c r="T59" s="230"/>
      <c r="U59" s="230"/>
    </row>
    <row r="60" spans="2:22" x14ac:dyDescent="0.2">
      <c r="B60" s="498"/>
      <c r="C60" s="499"/>
      <c r="D60" s="499"/>
      <c r="E60" s="500"/>
      <c r="F60" s="230"/>
      <c r="G60" s="230"/>
      <c r="H60" s="230"/>
      <c r="I60" s="230"/>
      <c r="J60" s="257"/>
      <c r="K60" s="230"/>
      <c r="L60" s="230"/>
      <c r="M60" s="230"/>
      <c r="N60" s="230"/>
      <c r="O60" s="230"/>
      <c r="P60" s="230"/>
      <c r="Q60" s="230"/>
      <c r="R60" s="230"/>
      <c r="S60" s="230"/>
      <c r="T60" s="230"/>
      <c r="U60" s="230"/>
    </row>
  </sheetData>
  <mergeCells count="47">
    <mergeCell ref="E10:H10"/>
    <mergeCell ref="E11:H11"/>
    <mergeCell ref="E12:H12"/>
    <mergeCell ref="D2:H2"/>
    <mergeCell ref="E3:H3"/>
    <mergeCell ref="B8:D8"/>
    <mergeCell ref="E8:H8"/>
    <mergeCell ref="E9:H9"/>
    <mergeCell ref="B6:C6"/>
    <mergeCell ref="E13:H13"/>
    <mergeCell ref="B22:H24"/>
    <mergeCell ref="E20:H20"/>
    <mergeCell ref="E28:H28"/>
    <mergeCell ref="E29:H29"/>
    <mergeCell ref="E14:H14"/>
    <mergeCell ref="B16:D16"/>
    <mergeCell ref="E16:H16"/>
    <mergeCell ref="E17:H17"/>
    <mergeCell ref="E18:H18"/>
    <mergeCell ref="E30:H30"/>
    <mergeCell ref="E19:H19"/>
    <mergeCell ref="C49:D49"/>
    <mergeCell ref="C50:D50"/>
    <mergeCell ref="C51:D51"/>
    <mergeCell ref="B37:L37"/>
    <mergeCell ref="B26:D26"/>
    <mergeCell ref="E26:H26"/>
    <mergeCell ref="E27:H27"/>
    <mergeCell ref="B33:C33"/>
    <mergeCell ref="B34:L34"/>
    <mergeCell ref="E31:H31"/>
    <mergeCell ref="E32:H32"/>
    <mergeCell ref="B38:L38"/>
    <mergeCell ref="C40:H40"/>
    <mergeCell ref="B42:D42"/>
    <mergeCell ref="B48:D48"/>
    <mergeCell ref="E48:H48"/>
    <mergeCell ref="B55:E60"/>
    <mergeCell ref="E42:H42"/>
    <mergeCell ref="E43:H43"/>
    <mergeCell ref="E44:H44"/>
    <mergeCell ref="E45:H45"/>
    <mergeCell ref="E46:H46"/>
    <mergeCell ref="B54:E54"/>
    <mergeCell ref="E49:H49"/>
    <mergeCell ref="E50:H50"/>
    <mergeCell ref="E51:H51"/>
  </mergeCells>
  <conditionalFormatting sqref="C32">
    <cfRule type="cellIs" dxfId="19" priority="16" operator="equal">
      <formula>"Not enough info"</formula>
    </cfRule>
    <cfRule type="cellIs" dxfId="18" priority="17" operator="equal">
      <formula>"No"</formula>
    </cfRule>
    <cfRule type="cellIs" dxfId="17" priority="18" operator="equal">
      <formula>"Yes"</formula>
    </cfRule>
  </conditionalFormatting>
  <conditionalFormatting sqref="C32">
    <cfRule type="expression" dxfId="16" priority="20">
      <formula>$D$56="No"</formula>
    </cfRule>
  </conditionalFormatting>
  <conditionalFormatting sqref="C32">
    <cfRule type="expression" dxfId="15" priority="19">
      <formula>$D$47="No"</formula>
    </cfRule>
  </conditionalFormatting>
  <conditionalFormatting sqref="C51">
    <cfRule type="expression" dxfId="14" priority="11">
      <formula>$D$49="No"</formula>
    </cfRule>
  </conditionalFormatting>
  <conditionalFormatting sqref="C51">
    <cfRule type="expression" dxfId="13" priority="10">
      <formula>$D$39="No"</formula>
    </cfRule>
  </conditionalFormatting>
  <conditionalFormatting sqref="C51">
    <cfRule type="cellIs" dxfId="12" priority="7" operator="equal">
      <formula>"Not enough info"</formula>
    </cfRule>
    <cfRule type="cellIs" dxfId="11" priority="8" operator="equal">
      <formula>"No"</formula>
    </cfRule>
    <cfRule type="cellIs" dxfId="10" priority="9" operator="equal">
      <formula>"Yes"</formula>
    </cfRule>
  </conditionalFormatting>
  <conditionalFormatting sqref="B35">
    <cfRule type="expression" dxfId="9" priority="1">
      <formula>$C$32="No"</formula>
    </cfRule>
  </conditionalFormatting>
  <dataValidations count="1">
    <dataValidation type="list" allowBlank="1" showInputMessage="1" showErrorMessage="1" sqref="C11" xr:uid="{DCCBB148-988E-4F13-984C-5CB42E37BE70}">
      <formula1>"1,1.1,1.21"</formula1>
    </dataValidation>
  </dataValidations>
  <hyperlinks>
    <hyperlink ref="B40" r:id="rId1" xr:uid="{9B392124-5848-4499-9483-76C541E97820}"/>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expression" priority="15" id="{910E34A9-B3F2-4542-BBD4-1FF16C7210E3}">
            <xm:f>'/Users/yeneirvine/Library/Containers/com.microsoft.Excel/Data/Documents/\\MCASERVER\Data\Projects\Final Documents\17-216 (Biovectra FC Expansion)\Design Data\Vessel Relief Calculations\C-2N06 (Acetone Still)\[C-2N06 and 51-P118 Heat Exchangers Safety Relief Data.xlsm]Case 3 - Split Exchanger Tube'!#REF!="No"</xm:f>
            <x14:dxf>
              <font>
                <color theme="0"/>
              </font>
              <fill>
                <patternFill>
                  <bgColor theme="0"/>
                </patternFill>
              </fill>
              <border>
                <left/>
                <right/>
                <top/>
                <bottom/>
                <vertical/>
                <horizontal/>
              </border>
            </x14:dxf>
          </x14:cfRule>
          <xm:sqref>B11:C11 B12:B13</xm:sqref>
        </x14:conditionalFormatting>
        <x14:conditionalFormatting xmlns:xm="http://schemas.microsoft.com/office/excel/2006/main">
          <x14:cfRule type="expression" priority="14" id="{FB4F660B-BD5E-4878-A762-C076F43B73DA}">
            <xm:f>'/Users/yeneirvine/Library/Containers/com.microsoft.Excel/Data/Documents/\\MCASERVER\Data\Projects\Final Documents\17-216 (Biovectra FC Expansion)\Design Data\Vessel Relief Calculations\C-2N06 (Acetone Still)\[C-2N06 and 51-P118 Heat Exchangers Safety Relief Data.xlsm]Summary'!#REF!="Relief Valve"</xm:f>
            <x14:dxf>
              <font>
                <color theme="0"/>
              </font>
              <fill>
                <patternFill>
                  <bgColor theme="0"/>
                </patternFill>
              </fill>
              <border>
                <left/>
                <right/>
                <top style="thin">
                  <color auto="1"/>
                </top>
                <bottom/>
                <vertical/>
                <horizontal/>
              </border>
            </x14:dxf>
          </x14:cfRule>
          <xm:sqref>B45:D45</xm:sqref>
        </x14:conditionalFormatting>
        <x14:conditionalFormatting xmlns:xm="http://schemas.microsoft.com/office/excel/2006/main">
          <x14:cfRule type="expression" priority="13" id="{48700432-BACD-4D28-9FE8-4A9F3E67B948}">
            <xm:f>'/Users/yeneirvine/Library/Containers/com.microsoft.Excel/Data/Documents/\\MCASERVER\Data\Projects\Final Documents\17-216 (Biovectra FC Expansion)\Design Data\Vessel Relief Calculations\C-2N06 (Acetone Still)\[C-2N06 and 51-P118 Heat Exchangers Safety Relief Data.xlsm]Summary'!#REF!="Relief Valve"</xm:f>
            <x14:dxf>
              <font>
                <color theme="0"/>
              </font>
              <fill>
                <patternFill>
                  <bgColor theme="0"/>
                </patternFill>
              </fill>
              <border>
                <left/>
                <right style="thin">
                  <color auto="1"/>
                </right>
                <top/>
                <bottom/>
                <vertical/>
                <horizontal/>
              </border>
            </x14:dxf>
          </x14:cfRule>
          <xm:sqref>B49</xm:sqref>
        </x14:conditionalFormatting>
        <x14:conditionalFormatting xmlns:xm="http://schemas.microsoft.com/office/excel/2006/main">
          <x14:cfRule type="expression" priority="12" id="{E8B2953B-B3DA-4AF7-A5FA-66B2C2891E1B}">
            <xm:f>'/Users/yeneirvine/Library/Containers/com.microsoft.Excel/Data/Documents/\\MCASERVER\Data\Projects\Final Documents\17-216 (Biovectra FC Expansion)\Design Data\Vessel Relief Calculations\C-2N06 (Acetone Still)\[C-2N06 and 51-P118 Heat Exchangers Safety Relief Data.xlsm]Summary'!#REF!="Relief Valve"</xm:f>
            <x14:dxf>
              <font>
                <color theme="0"/>
              </font>
              <fill>
                <patternFill>
                  <bgColor theme="0"/>
                </patternFill>
              </fill>
              <border>
                <left/>
                <right style="thin">
                  <color auto="1"/>
                </right>
                <top/>
                <bottom/>
                <vertical/>
                <horizontal/>
              </border>
            </x14:dxf>
          </x14:cfRule>
          <xm:sqref>C49</xm:sqref>
        </x14:conditionalFormatting>
        <x14:conditionalFormatting xmlns:xm="http://schemas.microsoft.com/office/excel/2006/main">
          <x14:cfRule type="expression" priority="6" id="{1D70AB5C-7C57-4AC1-A467-9C6E1AE801C4}">
            <xm:f>'/Users/yeneirvine/Library/Containers/com.microsoft.Excel/Data/Documents/\\MCASERVER\Data\Projects\Final Documents\17-216 (Biovectra FC Expansion)\Design Data\Vessel Relief Calculations\C-2N06 (Acetone Still)\[C-2N06 and 51-P118 Heat Exchangers Safety Relief Data.xlsm]Summary'!#REF!="Relief Valve"</xm:f>
            <x14:dxf>
              <border>
                <left/>
                <right/>
                <top style="thin">
                  <color auto="1"/>
                </top>
                <bottom/>
                <vertical/>
                <horizontal/>
              </border>
            </x14:dxf>
          </x14:cfRule>
          <xm:sqref>B49:D49</xm:sqref>
        </x14:conditionalFormatting>
        <x14:conditionalFormatting xmlns:xm="http://schemas.microsoft.com/office/excel/2006/main">
          <x14:cfRule type="expression" priority="5" id="{D6644D17-BD5C-48EA-BAEA-7DBA78FB9FB6}">
            <xm:f>Summary!D22="Relief Valve"</xm:f>
            <x14:dxf>
              <font>
                <color theme="0"/>
              </font>
              <fill>
                <patternFill>
                  <bgColor theme="0"/>
                </patternFill>
              </fill>
              <border>
                <left/>
                <right/>
                <top/>
                <bottom/>
                <vertical/>
                <horizontal/>
              </border>
            </x14:dxf>
          </x14:cfRule>
          <xm:sqref>B18:H20 E17:H17</xm:sqref>
        </x14:conditionalFormatting>
        <x14:conditionalFormatting xmlns:xm="http://schemas.microsoft.com/office/excel/2006/main">
          <x14:cfRule type="expression" priority="4" id="{E70379AA-36E4-4983-B0CA-2A89D59AF1DC}">
            <xm:f>Summary!$D$21="Relief Valve"</xm:f>
            <x14:dxf>
              <font>
                <color theme="0"/>
              </font>
              <fill>
                <patternFill>
                  <bgColor theme="0"/>
                </patternFill>
              </fill>
              <border>
                <left/>
                <right/>
                <top/>
                <bottom/>
                <vertical/>
                <horizontal/>
              </border>
            </x14:dxf>
          </x14:cfRule>
          <xm:sqref>E17:H20</xm:sqref>
        </x14:conditionalFormatting>
        <x14:conditionalFormatting xmlns:xm="http://schemas.microsoft.com/office/excel/2006/main">
          <x14:cfRule type="expression" priority="3" id="{19BC3E4F-B8EC-4AEC-8840-691181810D91}">
            <xm:f>Summary!$D$21="Relief Valve"</xm:f>
            <x14:dxf>
              <font>
                <color theme="0"/>
              </font>
              <fill>
                <patternFill>
                  <bgColor theme="0"/>
                </patternFill>
              </fill>
              <border>
                <left/>
                <right/>
                <top/>
                <bottom/>
                <vertical/>
                <horizontal/>
              </border>
            </x14:dxf>
          </x14:cfRule>
          <xm:sqref>B18:D20</xm:sqref>
        </x14:conditionalFormatting>
        <x14:conditionalFormatting xmlns:xm="http://schemas.microsoft.com/office/excel/2006/main">
          <x14:cfRule type="expression" priority="2" id="{7E6BEC5A-83BF-4051-B296-60731DFFA583}">
            <xm:f>Summary!$D$21="Relief Valve"</xm:f>
            <x14:dxf>
              <border>
                <bottom style="thin">
                  <color auto="1"/>
                </bottom>
                <vertical/>
                <horizontal/>
              </border>
            </x14:dxf>
          </x14:cfRule>
          <xm:sqref>B44:D44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01D3EFC-2A2C-4AFC-8C6C-07E621704661}">
          <x14:formula1>
            <xm:f>Fluids!$B$3:$B$22</xm:f>
          </x14:formula1>
          <xm:sqref>C28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K37"/>
  <sheetViews>
    <sheetView showGridLines="0" showRowColHeaders="0" zoomScaleNormal="100" workbookViewId="0">
      <selection activeCell="B46" sqref="B46"/>
    </sheetView>
  </sheetViews>
  <sheetFormatPr baseColWidth="10" defaultColWidth="8.83203125" defaultRowHeight="15" x14ac:dyDescent="0.2"/>
  <cols>
    <col min="1" max="1" width="2.83203125" customWidth="1"/>
    <col min="2" max="2" width="18.6640625" customWidth="1"/>
    <col min="3" max="5" width="16.6640625" customWidth="1"/>
    <col min="6" max="6" width="16.5" customWidth="1"/>
  </cols>
  <sheetData>
    <row r="2" spans="2:11" x14ac:dyDescent="0.2">
      <c r="B2" s="43" t="s">
        <v>14</v>
      </c>
      <c r="C2" s="626" t="s">
        <v>84</v>
      </c>
      <c r="D2" s="627"/>
      <c r="E2" s="627"/>
      <c r="F2" s="628"/>
    </row>
    <row r="3" spans="2:11" x14ac:dyDescent="0.2">
      <c r="B3" s="44" t="s">
        <v>94</v>
      </c>
      <c r="C3" s="44" t="s">
        <v>15</v>
      </c>
      <c r="D3" s="44" t="s">
        <v>16</v>
      </c>
      <c r="E3" s="44" t="s">
        <v>17</v>
      </c>
      <c r="F3" s="45" t="s">
        <v>18</v>
      </c>
      <c r="H3" s="22"/>
      <c r="I3" s="22"/>
      <c r="J3" s="22"/>
      <c r="K3" s="22"/>
    </row>
    <row r="4" spans="2:11" x14ac:dyDescent="0.2">
      <c r="B4" s="46">
        <v>4.5</v>
      </c>
      <c r="C4" s="47">
        <v>0.15240000000000001</v>
      </c>
      <c r="D4" s="48">
        <f t="shared" ref="D4:D6" si="0">B4^2/144*0.93</f>
        <v>0.13078125000000002</v>
      </c>
      <c r="E4" s="48">
        <f t="shared" ref="E4:E5" si="1">B4^2/144*1.57</f>
        <v>0.22078125000000001</v>
      </c>
      <c r="F4" s="48">
        <f t="shared" ref="F4:F9" si="2">+(B4/2)^2*PI()/144</f>
        <v>0.11044661672776616</v>
      </c>
      <c r="H4" s="22"/>
      <c r="I4" s="22"/>
      <c r="J4" s="22"/>
      <c r="K4" s="22"/>
    </row>
    <row r="5" spans="2:11" x14ac:dyDescent="0.2">
      <c r="B5" s="46">
        <v>5.5629999999999997</v>
      </c>
      <c r="C5" s="47">
        <v>0.23300000000000001</v>
      </c>
      <c r="D5" s="48">
        <f t="shared" si="0"/>
        <v>0.1998658414583333</v>
      </c>
      <c r="E5" s="48">
        <f t="shared" si="1"/>
        <v>0.33740792590277774</v>
      </c>
      <c r="F5" s="48">
        <f t="shared" si="2"/>
        <v>0.16878953205081781</v>
      </c>
      <c r="H5" s="22"/>
      <c r="I5" s="22"/>
      <c r="J5" s="22"/>
      <c r="K5" s="22"/>
    </row>
    <row r="6" spans="2:11" x14ac:dyDescent="0.2">
      <c r="B6" s="46">
        <v>6.625</v>
      </c>
      <c r="C6" s="47">
        <v>0.33</v>
      </c>
      <c r="D6" s="48">
        <f t="shared" si="0"/>
        <v>0.28346028645833332</v>
      </c>
      <c r="E6" s="48">
        <f>B6^2/144*1.57</f>
        <v>0.47852973090277778</v>
      </c>
      <c r="F6" s="48">
        <f t="shared" si="2"/>
        <v>0.23938622406504256</v>
      </c>
      <c r="H6" s="22"/>
      <c r="I6" s="22"/>
      <c r="J6" s="22"/>
      <c r="K6" s="22"/>
    </row>
    <row r="7" spans="2:11" x14ac:dyDescent="0.2">
      <c r="B7" s="46">
        <v>8.625</v>
      </c>
      <c r="C7" s="48">
        <v>0.56000000000000005</v>
      </c>
      <c r="D7" s="48">
        <f>B7^2/144*0.93</f>
        <v>0.48043945312500003</v>
      </c>
      <c r="E7" s="47">
        <v>0.8115</v>
      </c>
      <c r="F7" s="48">
        <f t="shared" si="2"/>
        <v>0.40573791839575207</v>
      </c>
      <c r="H7" s="22"/>
      <c r="I7" s="22"/>
      <c r="J7" s="22"/>
      <c r="K7" s="22"/>
    </row>
    <row r="8" spans="2:11" x14ac:dyDescent="0.2">
      <c r="B8" s="46">
        <v>10.75</v>
      </c>
      <c r="C8" s="48">
        <v>0.87</v>
      </c>
      <c r="D8" s="48">
        <f>B8^2/144*0.93</f>
        <v>0.74634114583333344</v>
      </c>
      <c r="E8" s="48">
        <v>1.26</v>
      </c>
      <c r="F8" s="48">
        <f t="shared" si="2"/>
        <v>0.6302956615112334</v>
      </c>
      <c r="H8" s="22"/>
      <c r="I8" s="22"/>
      <c r="J8" s="22"/>
      <c r="K8" s="22"/>
    </row>
    <row r="9" spans="2:11" x14ac:dyDescent="0.2">
      <c r="B9" s="46">
        <v>12.75</v>
      </c>
      <c r="C9" s="49">
        <v>1.22</v>
      </c>
      <c r="D9" s="49">
        <v>1.05</v>
      </c>
      <c r="E9" s="49">
        <v>1.77</v>
      </c>
      <c r="F9" s="48">
        <f t="shared" si="2"/>
        <v>0.88664089539790059</v>
      </c>
      <c r="H9" s="22"/>
      <c r="I9" s="22"/>
      <c r="J9" s="22"/>
      <c r="K9" s="22"/>
    </row>
    <row r="10" spans="2:11" x14ac:dyDescent="0.2">
      <c r="B10" s="47">
        <v>14</v>
      </c>
      <c r="C10" s="49">
        <v>1.46</v>
      </c>
      <c r="D10" s="49">
        <v>1.32</v>
      </c>
      <c r="E10" s="49">
        <v>2.14</v>
      </c>
      <c r="F10" s="48">
        <f t="shared" ref="F10:F37" si="3">+(B10/2)^2*PI()/144</f>
        <v>1.0690141668465267</v>
      </c>
      <c r="H10" s="22"/>
      <c r="I10" s="22"/>
      <c r="J10" s="22"/>
      <c r="K10" s="22"/>
    </row>
    <row r="11" spans="2:11" x14ac:dyDescent="0.2">
      <c r="B11" s="47">
        <v>16</v>
      </c>
      <c r="C11" s="49">
        <v>1.91</v>
      </c>
      <c r="D11" s="49">
        <v>1.65</v>
      </c>
      <c r="E11" s="49">
        <v>2.79</v>
      </c>
      <c r="F11" s="48">
        <f t="shared" si="3"/>
        <v>1.3962634015954636</v>
      </c>
      <c r="H11" s="22"/>
      <c r="I11" s="22"/>
      <c r="J11" s="22"/>
      <c r="K11" s="22"/>
    </row>
    <row r="12" spans="2:11" x14ac:dyDescent="0.2">
      <c r="B12" s="47">
        <v>18</v>
      </c>
      <c r="C12" s="49">
        <v>2.42</v>
      </c>
      <c r="D12" s="49">
        <v>2.09</v>
      </c>
      <c r="E12" s="49">
        <v>3.53</v>
      </c>
      <c r="F12" s="48">
        <f t="shared" si="3"/>
        <v>1.7671458676442586</v>
      </c>
      <c r="H12" s="22"/>
      <c r="I12" s="22"/>
      <c r="J12" s="22"/>
      <c r="K12" s="22"/>
    </row>
    <row r="13" spans="2:11" x14ac:dyDescent="0.2">
      <c r="B13" s="47">
        <v>20</v>
      </c>
      <c r="C13" s="49">
        <v>2.99</v>
      </c>
      <c r="D13" s="49">
        <v>2.59</v>
      </c>
      <c r="E13" s="49">
        <v>4.3600000000000003</v>
      </c>
      <c r="F13" s="48">
        <f t="shared" si="3"/>
        <v>2.1816615649929121</v>
      </c>
      <c r="H13" s="22"/>
      <c r="I13" s="22"/>
      <c r="J13" s="22"/>
      <c r="K13" s="22"/>
    </row>
    <row r="14" spans="2:11" x14ac:dyDescent="0.2">
      <c r="B14" s="47">
        <v>22</v>
      </c>
      <c r="C14" s="49">
        <v>3.61</v>
      </c>
      <c r="D14" s="49">
        <v>3.13</v>
      </c>
      <c r="E14" s="49">
        <v>5.28</v>
      </c>
      <c r="F14" s="48">
        <f t="shared" si="3"/>
        <v>2.6398104936414235</v>
      </c>
      <c r="H14" s="22"/>
      <c r="I14" s="22"/>
      <c r="J14" s="22"/>
      <c r="K14" s="22"/>
    </row>
    <row r="15" spans="2:11" x14ac:dyDescent="0.2">
      <c r="B15" s="47">
        <v>24</v>
      </c>
      <c r="C15" s="49">
        <v>4.3</v>
      </c>
      <c r="D15" s="49">
        <v>3.72</v>
      </c>
      <c r="E15" s="49">
        <v>6.28</v>
      </c>
      <c r="F15" s="48">
        <f t="shared" si="3"/>
        <v>3.1415926535897931</v>
      </c>
      <c r="H15" s="22"/>
      <c r="I15" s="22"/>
      <c r="J15" s="22"/>
      <c r="K15" s="22"/>
    </row>
    <row r="16" spans="2:11" x14ac:dyDescent="0.2">
      <c r="B16" s="47">
        <v>30</v>
      </c>
      <c r="C16" s="49">
        <v>6.72</v>
      </c>
      <c r="D16" s="49">
        <v>5.82</v>
      </c>
      <c r="E16" s="49">
        <v>9.82</v>
      </c>
      <c r="F16" s="48">
        <f t="shared" si="3"/>
        <v>4.908738521234052</v>
      </c>
      <c r="H16" s="22"/>
      <c r="I16" s="22"/>
      <c r="J16" s="22"/>
      <c r="K16" s="22"/>
    </row>
    <row r="17" spans="2:11" x14ac:dyDescent="0.2">
      <c r="B17" s="47">
        <v>36</v>
      </c>
      <c r="C17" s="49">
        <v>9.68</v>
      </c>
      <c r="D17" s="49">
        <v>8.3800000000000008</v>
      </c>
      <c r="E17" s="49">
        <v>14.14</v>
      </c>
      <c r="F17" s="48">
        <f t="shared" si="3"/>
        <v>7.0685834705770345</v>
      </c>
      <c r="H17" s="22"/>
      <c r="I17" s="22"/>
      <c r="J17" s="22"/>
      <c r="K17" s="22"/>
    </row>
    <row r="18" spans="2:11" x14ac:dyDescent="0.2">
      <c r="B18" s="47">
        <v>42</v>
      </c>
      <c r="C18" s="49">
        <v>13.18</v>
      </c>
      <c r="D18" s="49">
        <v>11.4</v>
      </c>
      <c r="E18" s="49">
        <v>19.239999999999998</v>
      </c>
      <c r="F18" s="48">
        <f t="shared" si="3"/>
        <v>9.6211275016187408</v>
      </c>
      <c r="H18" s="22"/>
      <c r="I18" s="22"/>
      <c r="J18" s="22"/>
      <c r="K18" s="22"/>
    </row>
    <row r="19" spans="2:11" x14ac:dyDescent="0.2">
      <c r="B19" s="47">
        <v>48</v>
      </c>
      <c r="C19" s="49">
        <v>17.21</v>
      </c>
      <c r="D19" s="49">
        <v>14.89</v>
      </c>
      <c r="E19" s="49">
        <v>25.13</v>
      </c>
      <c r="F19" s="48">
        <f t="shared" si="3"/>
        <v>12.566370614359172</v>
      </c>
      <c r="H19" s="22"/>
      <c r="I19" s="22"/>
      <c r="J19" s="22"/>
      <c r="K19" s="22"/>
    </row>
    <row r="20" spans="2:11" x14ac:dyDescent="0.2">
      <c r="B20" s="47">
        <v>54</v>
      </c>
      <c r="C20" s="49">
        <v>21.79</v>
      </c>
      <c r="D20" s="49">
        <v>18.84</v>
      </c>
      <c r="E20" s="49">
        <v>31.81</v>
      </c>
      <c r="F20" s="48">
        <f t="shared" si="3"/>
        <v>15.904312808798327</v>
      </c>
      <c r="H20" s="22"/>
      <c r="I20" s="22"/>
      <c r="J20" s="22"/>
      <c r="K20" s="22"/>
    </row>
    <row r="21" spans="2:11" x14ac:dyDescent="0.2">
      <c r="B21" s="47">
        <v>60</v>
      </c>
      <c r="C21" s="49">
        <v>26.88</v>
      </c>
      <c r="D21" s="49">
        <v>23.04</v>
      </c>
      <c r="E21" s="49">
        <v>39.270000000000003</v>
      </c>
      <c r="F21" s="48">
        <f t="shared" si="3"/>
        <v>19.634954084936208</v>
      </c>
      <c r="H21" s="22"/>
      <c r="I21" s="22"/>
      <c r="J21" s="22"/>
      <c r="K21" s="22"/>
    </row>
    <row r="22" spans="2:11" x14ac:dyDescent="0.2">
      <c r="B22" s="47">
        <v>66</v>
      </c>
      <c r="C22" s="49">
        <v>32.53</v>
      </c>
      <c r="D22" s="49">
        <v>28.15</v>
      </c>
      <c r="E22" s="49">
        <v>47.52</v>
      </c>
      <c r="F22" s="48">
        <f t="shared" si="3"/>
        <v>23.758294442772812</v>
      </c>
      <c r="H22" s="22"/>
      <c r="I22" s="22"/>
      <c r="J22" s="22"/>
      <c r="K22" s="22"/>
    </row>
    <row r="23" spans="2:11" x14ac:dyDescent="0.2">
      <c r="B23" s="47">
        <v>72</v>
      </c>
      <c r="C23" s="49">
        <v>38.75</v>
      </c>
      <c r="D23" s="49">
        <v>33.5</v>
      </c>
      <c r="E23" s="49">
        <v>56.55</v>
      </c>
      <c r="F23" s="48">
        <f t="shared" si="3"/>
        <v>28.274333882308138</v>
      </c>
      <c r="H23" s="22"/>
      <c r="I23" s="22"/>
      <c r="J23" s="22"/>
      <c r="K23" s="22"/>
    </row>
    <row r="24" spans="2:11" x14ac:dyDescent="0.2">
      <c r="B24" s="47">
        <v>78</v>
      </c>
      <c r="C24" s="49">
        <v>45.43</v>
      </c>
      <c r="D24" s="49">
        <v>39.32</v>
      </c>
      <c r="E24" s="49">
        <v>66.37</v>
      </c>
      <c r="F24" s="48">
        <f t="shared" si="3"/>
        <v>33.183072403542184</v>
      </c>
      <c r="H24" s="22"/>
      <c r="I24" s="22"/>
      <c r="J24" s="22"/>
      <c r="K24" s="22"/>
    </row>
    <row r="25" spans="2:11" x14ac:dyDescent="0.2">
      <c r="B25" s="47">
        <v>84</v>
      </c>
      <c r="C25" s="49">
        <v>52.7</v>
      </c>
      <c r="D25" s="49">
        <v>45.6</v>
      </c>
      <c r="E25" s="49">
        <v>76.97</v>
      </c>
      <c r="F25" s="48">
        <f t="shared" si="3"/>
        <v>38.484510006474963</v>
      </c>
      <c r="H25" s="22"/>
      <c r="I25" s="22"/>
      <c r="J25" s="22"/>
      <c r="K25" s="22"/>
    </row>
    <row r="26" spans="2:11" x14ac:dyDescent="0.2">
      <c r="B26" s="47">
        <v>90</v>
      </c>
      <c r="C26" s="49">
        <v>60.49</v>
      </c>
      <c r="D26" s="49">
        <v>52.35</v>
      </c>
      <c r="E26" s="49">
        <v>88.36</v>
      </c>
      <c r="F26" s="48">
        <f t="shared" si="3"/>
        <v>44.178646691106465</v>
      </c>
      <c r="H26" s="22"/>
      <c r="I26" s="22"/>
      <c r="J26" s="22"/>
      <c r="K26" s="22"/>
    </row>
    <row r="27" spans="2:11" x14ac:dyDescent="0.2">
      <c r="B27" s="47">
        <v>96</v>
      </c>
      <c r="C27" s="49">
        <v>70.25</v>
      </c>
      <c r="D27" s="49">
        <v>59.56</v>
      </c>
      <c r="E27" s="49">
        <v>100.53</v>
      </c>
      <c r="F27" s="48">
        <f t="shared" si="3"/>
        <v>50.26548245743669</v>
      </c>
      <c r="H27" s="22"/>
      <c r="I27" s="22"/>
      <c r="J27" s="22"/>
      <c r="K27" s="22"/>
    </row>
    <row r="28" spans="2:11" x14ac:dyDescent="0.2">
      <c r="B28" s="47">
        <v>102</v>
      </c>
      <c r="C28" s="49">
        <v>77.69</v>
      </c>
      <c r="D28" s="49">
        <v>67.23</v>
      </c>
      <c r="E28" s="49">
        <v>113.49</v>
      </c>
      <c r="F28" s="48">
        <f t="shared" si="3"/>
        <v>56.745017305465637</v>
      </c>
      <c r="H28" s="22"/>
      <c r="I28" s="22"/>
      <c r="J28" s="22"/>
      <c r="K28" s="22"/>
    </row>
    <row r="29" spans="2:11" x14ac:dyDescent="0.2">
      <c r="B29" s="47">
        <v>108</v>
      </c>
      <c r="C29" s="49">
        <v>87.15</v>
      </c>
      <c r="D29" s="49">
        <v>75.38</v>
      </c>
      <c r="E29" s="49">
        <v>127.24</v>
      </c>
      <c r="F29" s="48">
        <f t="shared" si="3"/>
        <v>63.617251235193308</v>
      </c>
      <c r="H29" s="22"/>
      <c r="I29" s="22"/>
      <c r="J29" s="22"/>
      <c r="K29" s="22"/>
    </row>
    <row r="30" spans="2:11" x14ac:dyDescent="0.2">
      <c r="B30" s="47">
        <v>114</v>
      </c>
      <c r="C30" s="49">
        <v>98.18</v>
      </c>
      <c r="D30" s="49">
        <v>83.99</v>
      </c>
      <c r="E30" s="49">
        <v>141.77000000000001</v>
      </c>
      <c r="F30" s="48">
        <f t="shared" si="3"/>
        <v>70.882184246619715</v>
      </c>
      <c r="H30" s="22"/>
      <c r="I30" s="22"/>
      <c r="J30" s="22"/>
      <c r="K30" s="22"/>
    </row>
    <row r="31" spans="2:11" x14ac:dyDescent="0.2">
      <c r="B31" s="47">
        <v>120</v>
      </c>
      <c r="C31" s="49">
        <v>107.53</v>
      </c>
      <c r="D31" s="49">
        <v>93.06</v>
      </c>
      <c r="E31" s="49">
        <v>157.08000000000001</v>
      </c>
      <c r="F31" s="48">
        <f t="shared" si="3"/>
        <v>78.539816339744831</v>
      </c>
      <c r="H31" s="22"/>
      <c r="I31" s="22"/>
      <c r="J31" s="22"/>
      <c r="K31" s="22"/>
    </row>
    <row r="32" spans="2:11" x14ac:dyDescent="0.2">
      <c r="B32" s="47">
        <v>126</v>
      </c>
      <c r="C32" s="49">
        <v>118.62</v>
      </c>
      <c r="D32" s="49">
        <v>102.6</v>
      </c>
      <c r="E32" s="49">
        <v>173.18</v>
      </c>
      <c r="F32" s="48">
        <f t="shared" si="3"/>
        <v>86.59014751456867</v>
      </c>
      <c r="H32" s="22"/>
      <c r="I32" s="22"/>
      <c r="J32" s="22"/>
      <c r="K32" s="22"/>
    </row>
    <row r="33" spans="2:11" x14ac:dyDescent="0.2">
      <c r="B33" s="47">
        <v>132</v>
      </c>
      <c r="C33" s="49">
        <v>130.24</v>
      </c>
      <c r="D33" s="49">
        <v>112.6</v>
      </c>
      <c r="E33" s="49">
        <v>190.07</v>
      </c>
      <c r="F33" s="48">
        <f t="shared" si="3"/>
        <v>95.033177771091246</v>
      </c>
      <c r="H33" s="22"/>
      <c r="I33" s="22"/>
      <c r="J33" s="22"/>
      <c r="K33" s="22"/>
    </row>
    <row r="34" spans="2:11" x14ac:dyDescent="0.2">
      <c r="B34" s="47">
        <v>138</v>
      </c>
      <c r="C34" s="49">
        <v>142.31</v>
      </c>
      <c r="D34" s="49">
        <v>123.07</v>
      </c>
      <c r="E34" s="49">
        <v>207.74</v>
      </c>
      <c r="F34" s="48">
        <f t="shared" si="3"/>
        <v>103.86890710931253</v>
      </c>
      <c r="H34" s="22"/>
      <c r="I34" s="22"/>
      <c r="J34" s="22"/>
      <c r="K34" s="22"/>
    </row>
    <row r="35" spans="2:11" x14ac:dyDescent="0.2">
      <c r="B35" s="47">
        <v>144</v>
      </c>
      <c r="C35" s="49">
        <v>155.06</v>
      </c>
      <c r="D35" s="49">
        <v>134</v>
      </c>
      <c r="E35" s="49">
        <v>226.2</v>
      </c>
      <c r="F35" s="48">
        <f t="shared" si="3"/>
        <v>113.09733552923255</v>
      </c>
      <c r="H35" s="22"/>
      <c r="I35" s="22"/>
      <c r="J35" s="22"/>
      <c r="K35" s="22"/>
    </row>
    <row r="36" spans="2:11" x14ac:dyDescent="0.2">
      <c r="B36" s="47">
        <v>156</v>
      </c>
      <c r="C36" s="49">
        <v>206.77</v>
      </c>
      <c r="D36" s="49">
        <v>171.79</v>
      </c>
      <c r="E36" s="49">
        <v>265.45999999999998</v>
      </c>
      <c r="F36" s="48">
        <f t="shared" si="3"/>
        <v>132.73228961416874</v>
      </c>
      <c r="H36" s="22"/>
      <c r="I36" s="22"/>
      <c r="J36" s="22"/>
      <c r="K36" s="22"/>
    </row>
    <row r="37" spans="2:11" x14ac:dyDescent="0.2">
      <c r="B37" s="47">
        <v>168</v>
      </c>
      <c r="C37" s="49">
        <v>239.81</v>
      </c>
      <c r="D37" s="49">
        <v>199.24</v>
      </c>
      <c r="E37" s="49">
        <v>307.87</v>
      </c>
      <c r="F37" s="48">
        <f t="shared" si="3"/>
        <v>153.93804002589985</v>
      </c>
    </row>
  </sheetData>
  <sheetProtection algorithmName="SHA-512" hashValue="AfgJBge3EWoW0Np0fuMT09tiEUVwJzgTA1O6lBVY9H3lgBRi4uFCm9uLrehkduNnuAJFpVFYQF2clgu2qe4Qtw==" saltValue="fQf0ExZIoJMtccOfr4kWKw==" spinCount="100000" sheet="1" objects="1" scenarios="1"/>
  <mergeCells count="1">
    <mergeCell ref="C2:F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P40"/>
  <sheetViews>
    <sheetView showGridLines="0" showRowColHeaders="0" workbookViewId="0">
      <selection activeCell="B48" sqref="B48"/>
    </sheetView>
  </sheetViews>
  <sheetFormatPr baseColWidth="10" defaultColWidth="9.1640625" defaultRowHeight="15" x14ac:dyDescent="0.2"/>
  <cols>
    <col min="1" max="1" width="3" customWidth="1"/>
    <col min="2" max="2" width="18.5" customWidth="1"/>
    <col min="3" max="3" width="20.5" bestFit="1" customWidth="1"/>
    <col min="4" max="4" width="19.83203125" customWidth="1"/>
    <col min="5" max="5" width="10.6640625" bestFit="1" customWidth="1"/>
    <col min="7" max="7" width="12.33203125" customWidth="1"/>
    <col min="8" max="8" width="15.5" customWidth="1"/>
    <col min="9" max="9" width="12.6640625" customWidth="1"/>
    <col min="10" max="10" width="11.5" customWidth="1"/>
  </cols>
  <sheetData>
    <row r="1" spans="2:14" ht="15" customHeight="1" x14ac:dyDescent="0.2"/>
    <row r="2" spans="2:14" ht="33" customHeight="1" x14ac:dyDescent="0.2">
      <c r="B2" s="59" t="s">
        <v>9</v>
      </c>
      <c r="C2" s="60" t="s">
        <v>95</v>
      </c>
      <c r="D2" s="60" t="s">
        <v>96</v>
      </c>
      <c r="E2" s="59" t="s">
        <v>97</v>
      </c>
      <c r="F2" s="24"/>
      <c r="G2" s="50"/>
      <c r="H2" s="51"/>
      <c r="I2" s="51"/>
      <c r="J2" s="24"/>
      <c r="K2" s="24"/>
      <c r="L2" s="24"/>
      <c r="M2" s="24"/>
      <c r="N2" s="24"/>
    </row>
    <row r="3" spans="2:14" x14ac:dyDescent="0.2">
      <c r="B3" s="62" t="s">
        <v>119</v>
      </c>
      <c r="C3" s="52">
        <v>252</v>
      </c>
      <c r="D3" s="47">
        <v>44.05</v>
      </c>
      <c r="E3" s="53">
        <f t="shared" ref="E3:E22" si="0">C3*(+D3^(0.5))</f>
        <v>1672.5283854093477</v>
      </c>
      <c r="F3" s="24"/>
      <c r="G3" s="54"/>
      <c r="H3" s="55"/>
      <c r="I3" s="24"/>
      <c r="J3" s="57"/>
      <c r="K3" s="24"/>
      <c r="L3" s="24"/>
      <c r="M3" s="24"/>
      <c r="N3" s="24"/>
    </row>
    <row r="4" spans="2:14" x14ac:dyDescent="0.2">
      <c r="B4" s="62" t="s">
        <v>110</v>
      </c>
      <c r="C4" s="52">
        <v>174</v>
      </c>
      <c r="D4" s="47">
        <v>60.05</v>
      </c>
      <c r="E4" s="53">
        <f t="shared" si="0"/>
        <v>1348.3596701177323</v>
      </c>
      <c r="F4" s="24"/>
      <c r="G4" s="54"/>
      <c r="H4" s="55"/>
      <c r="I4" s="24"/>
      <c r="J4" s="57"/>
      <c r="K4" s="24"/>
      <c r="L4" s="24"/>
      <c r="M4" s="24"/>
      <c r="N4" s="24"/>
    </row>
    <row r="5" spans="2:14" x14ac:dyDescent="0.2">
      <c r="B5" s="61" t="s">
        <v>51</v>
      </c>
      <c r="C5" s="52">
        <v>224</v>
      </c>
      <c r="D5" s="47">
        <v>58.08</v>
      </c>
      <c r="E5" s="53">
        <f t="shared" si="0"/>
        <v>1707.1092759398855</v>
      </c>
      <c r="F5" s="24"/>
      <c r="G5" s="54"/>
      <c r="H5" s="55"/>
      <c r="I5" s="24"/>
      <c r="J5" s="57"/>
      <c r="K5" s="24"/>
      <c r="L5" s="24"/>
      <c r="M5" s="24"/>
      <c r="N5" s="24"/>
    </row>
    <row r="6" spans="2:14" x14ac:dyDescent="0.2">
      <c r="B6" s="61" t="s">
        <v>52</v>
      </c>
      <c r="C6" s="52">
        <v>0</v>
      </c>
      <c r="D6" s="47">
        <v>28.97</v>
      </c>
      <c r="E6" s="53">
        <f t="shared" si="0"/>
        <v>0</v>
      </c>
      <c r="F6" s="24"/>
      <c r="G6" s="54"/>
      <c r="H6" s="55"/>
      <c r="I6" s="24"/>
      <c r="J6" s="57"/>
      <c r="K6" s="24"/>
      <c r="L6" s="24"/>
      <c r="M6" s="24"/>
      <c r="N6" s="24"/>
    </row>
    <row r="7" spans="2:14" x14ac:dyDescent="0.2">
      <c r="B7" s="62" t="s">
        <v>108</v>
      </c>
      <c r="C7" s="52">
        <v>169</v>
      </c>
      <c r="D7" s="47">
        <v>78.11</v>
      </c>
      <c r="E7" s="53">
        <f t="shared" si="0"/>
        <v>1493.6196671174359</v>
      </c>
      <c r="F7" s="24"/>
      <c r="G7" s="54"/>
      <c r="H7" s="55"/>
      <c r="I7" s="24"/>
      <c r="J7" s="57"/>
      <c r="K7" s="24"/>
      <c r="L7" s="24"/>
      <c r="M7" s="24"/>
      <c r="N7" s="24"/>
    </row>
    <row r="8" spans="2:14" x14ac:dyDescent="0.2">
      <c r="B8" s="62" t="s">
        <v>109</v>
      </c>
      <c r="C8" s="52">
        <v>154</v>
      </c>
      <c r="D8" s="47">
        <v>84.16</v>
      </c>
      <c r="E8" s="53">
        <f t="shared" si="0"/>
        <v>1412.7768967533409</v>
      </c>
      <c r="F8" s="24"/>
      <c r="G8" s="54"/>
      <c r="H8" s="55"/>
      <c r="I8" s="24"/>
      <c r="J8" s="57"/>
      <c r="K8" s="24"/>
      <c r="L8" s="24"/>
      <c r="M8" s="24"/>
      <c r="N8" s="24"/>
    </row>
    <row r="9" spans="2:14" x14ac:dyDescent="0.2">
      <c r="B9" s="62" t="s">
        <v>117</v>
      </c>
      <c r="C9" s="52">
        <v>250</v>
      </c>
      <c r="D9" s="47">
        <v>45.08</v>
      </c>
      <c r="E9" s="53">
        <f t="shared" si="0"/>
        <v>1678.5410331594519</v>
      </c>
      <c r="F9" s="24"/>
      <c r="G9" s="54"/>
      <c r="H9" s="55"/>
      <c r="I9" s="24"/>
      <c r="J9" s="57"/>
      <c r="K9" s="24"/>
      <c r="L9" s="24"/>
      <c r="M9" s="24"/>
      <c r="N9" s="24"/>
    </row>
    <row r="10" spans="2:14" x14ac:dyDescent="0.2">
      <c r="B10" s="62" t="s">
        <v>112</v>
      </c>
      <c r="C10" s="52">
        <v>368</v>
      </c>
      <c r="D10" s="47">
        <v>46.07</v>
      </c>
      <c r="E10" s="53">
        <f t="shared" si="0"/>
        <v>2497.7957642689685</v>
      </c>
      <c r="F10" s="24"/>
      <c r="G10" s="54"/>
      <c r="H10" s="55"/>
      <c r="I10" s="24"/>
      <c r="J10" s="57"/>
      <c r="K10" s="24"/>
      <c r="L10" s="24"/>
      <c r="M10" s="24"/>
      <c r="N10" s="24"/>
    </row>
    <row r="11" spans="2:14" x14ac:dyDescent="0.2">
      <c r="B11" s="62" t="s">
        <v>118</v>
      </c>
      <c r="C11" s="52">
        <v>157</v>
      </c>
      <c r="D11" s="47">
        <v>88.1</v>
      </c>
      <c r="E11" s="53">
        <f t="shared" si="0"/>
        <v>1473.6271238003187</v>
      </c>
      <c r="F11" s="24"/>
      <c r="G11" s="54"/>
      <c r="H11" s="55"/>
      <c r="I11" s="24"/>
      <c r="J11" s="57"/>
      <c r="K11" s="24"/>
      <c r="L11" s="24"/>
      <c r="M11" s="24"/>
      <c r="N11" s="24"/>
    </row>
    <row r="12" spans="2:14" x14ac:dyDescent="0.2">
      <c r="B12" s="62" t="s">
        <v>111</v>
      </c>
      <c r="C12" s="52">
        <v>145</v>
      </c>
      <c r="D12" s="47">
        <v>96</v>
      </c>
      <c r="E12" s="53">
        <f t="shared" si="0"/>
        <v>1420.7040508142431</v>
      </c>
      <c r="F12" s="24"/>
      <c r="G12" s="54"/>
      <c r="H12" s="55"/>
      <c r="I12" s="24"/>
      <c r="J12" s="57"/>
      <c r="K12" s="24"/>
      <c r="L12" s="24"/>
      <c r="M12" s="24"/>
      <c r="N12" s="24"/>
    </row>
    <row r="13" spans="2:14" x14ac:dyDescent="0.2">
      <c r="B13" s="62" t="s">
        <v>20</v>
      </c>
      <c r="C13" s="52">
        <v>137</v>
      </c>
      <c r="D13" s="47">
        <v>100.2</v>
      </c>
      <c r="E13" s="53">
        <f t="shared" si="0"/>
        <v>1371.3693156841448</v>
      </c>
      <c r="F13" s="24"/>
      <c r="G13" s="54"/>
      <c r="H13" s="55"/>
      <c r="I13" s="24"/>
      <c r="J13" s="57"/>
      <c r="K13" s="24"/>
      <c r="L13" s="24"/>
      <c r="M13" s="24"/>
      <c r="N13" s="24"/>
    </row>
    <row r="14" spans="2:14" x14ac:dyDescent="0.2">
      <c r="B14" s="61" t="s">
        <v>56</v>
      </c>
      <c r="C14" s="52">
        <v>144</v>
      </c>
      <c r="D14" s="47">
        <v>86.17</v>
      </c>
      <c r="E14" s="53">
        <f t="shared" si="0"/>
        <v>1336.7202848763836</v>
      </c>
      <c r="F14" s="24"/>
      <c r="G14" s="54"/>
      <c r="H14" s="55"/>
      <c r="I14" s="24"/>
      <c r="J14" s="57"/>
      <c r="K14" s="24"/>
      <c r="L14" s="24"/>
      <c r="M14" s="24"/>
      <c r="N14" s="24"/>
    </row>
    <row r="15" spans="2:14" x14ac:dyDescent="0.2">
      <c r="B15" s="62" t="s">
        <v>53</v>
      </c>
      <c r="C15" s="52">
        <v>474</v>
      </c>
      <c r="D15" s="47">
        <v>32.04</v>
      </c>
      <c r="E15" s="53">
        <f t="shared" si="0"/>
        <v>2683.0242339568981</v>
      </c>
      <c r="F15" s="24"/>
      <c r="G15" s="54"/>
      <c r="H15" s="55"/>
      <c r="I15" s="24"/>
      <c r="J15" s="57"/>
      <c r="K15" s="24"/>
      <c r="L15" s="24"/>
      <c r="M15" s="24"/>
      <c r="N15" s="24"/>
    </row>
    <row r="16" spans="2:14" x14ac:dyDescent="0.2">
      <c r="B16" s="61" t="s">
        <v>54</v>
      </c>
      <c r="C16" s="52">
        <v>122</v>
      </c>
      <c r="D16" s="47">
        <v>84.93</v>
      </c>
      <c r="E16" s="53">
        <f t="shared" si="0"/>
        <v>1124.3211818693089</v>
      </c>
      <c r="F16" s="24"/>
      <c r="G16" s="54"/>
      <c r="H16" s="55"/>
      <c r="I16" s="24"/>
      <c r="J16" s="57"/>
      <c r="K16" s="24"/>
      <c r="L16" s="24"/>
      <c r="M16" s="24"/>
      <c r="N16" s="24"/>
    </row>
    <row r="17" spans="2:16" x14ac:dyDescent="0.2">
      <c r="B17" s="61" t="s">
        <v>21</v>
      </c>
      <c r="C17" s="52">
        <f>86</f>
        <v>86</v>
      </c>
      <c r="D17" s="47">
        <v>28</v>
      </c>
      <c r="E17" s="53">
        <f t="shared" si="0"/>
        <v>455.06922550310958</v>
      </c>
      <c r="F17" s="24"/>
      <c r="G17" s="54"/>
      <c r="H17" s="55"/>
      <c r="I17" s="24"/>
      <c r="J17" s="57"/>
      <c r="K17" s="24"/>
      <c r="L17" s="24"/>
      <c r="M17" s="24"/>
      <c r="N17" s="24"/>
    </row>
    <row r="18" spans="2:16" x14ac:dyDescent="0.2">
      <c r="B18" s="62" t="s">
        <v>113</v>
      </c>
      <c r="C18" s="52">
        <v>132</v>
      </c>
      <c r="D18" s="47">
        <v>114.22</v>
      </c>
      <c r="E18" s="53">
        <f t="shared" si="0"/>
        <v>1410.733596395861</v>
      </c>
      <c r="F18" s="24"/>
      <c r="G18" s="54"/>
      <c r="H18" s="55"/>
      <c r="I18" s="24"/>
      <c r="J18" s="57"/>
      <c r="K18" s="24"/>
      <c r="L18" s="24"/>
      <c r="M18" s="24"/>
      <c r="N18" s="24"/>
    </row>
    <row r="19" spans="2:16" x14ac:dyDescent="0.2">
      <c r="B19" s="62" t="s">
        <v>114</v>
      </c>
      <c r="C19" s="52">
        <v>153</v>
      </c>
      <c r="D19" s="47">
        <v>72.150000000000006</v>
      </c>
      <c r="E19" s="53">
        <f t="shared" si="0"/>
        <v>1299.5996883656135</v>
      </c>
      <c r="F19" s="24"/>
      <c r="G19" s="54"/>
      <c r="H19" s="55"/>
      <c r="I19" s="24"/>
      <c r="J19" s="57"/>
      <c r="K19" s="24"/>
      <c r="L19" s="24"/>
      <c r="M19" s="24"/>
      <c r="N19" s="24"/>
    </row>
    <row r="20" spans="2:16" x14ac:dyDescent="0.2">
      <c r="B20" s="62" t="s">
        <v>115</v>
      </c>
      <c r="C20" s="52">
        <v>156</v>
      </c>
      <c r="D20" s="47">
        <v>92.13</v>
      </c>
      <c r="E20" s="53">
        <f t="shared" si="0"/>
        <v>1497.3562301603449</v>
      </c>
      <c r="F20" s="24"/>
      <c r="G20" s="54"/>
      <c r="H20" s="55"/>
      <c r="I20" s="24"/>
      <c r="J20" s="57"/>
      <c r="K20" s="24"/>
      <c r="L20" s="24"/>
      <c r="M20" s="24"/>
      <c r="N20" s="24"/>
    </row>
    <row r="21" spans="2:16" x14ac:dyDescent="0.2">
      <c r="B21" s="62" t="s">
        <v>116</v>
      </c>
      <c r="C21" s="52">
        <v>165</v>
      </c>
      <c r="D21" s="47">
        <v>86.09</v>
      </c>
      <c r="E21" s="53">
        <f t="shared" si="0"/>
        <v>1530.9475007327981</v>
      </c>
      <c r="F21" s="24"/>
      <c r="G21" s="54"/>
      <c r="H21" s="55"/>
      <c r="I21" s="24"/>
      <c r="J21" s="57"/>
      <c r="K21" s="24"/>
      <c r="L21" s="24"/>
      <c r="M21" s="24"/>
      <c r="N21" s="24"/>
    </row>
    <row r="22" spans="2:16" x14ac:dyDescent="0.2">
      <c r="B22" s="61" t="s">
        <v>55</v>
      </c>
      <c r="C22" s="52">
        <v>970</v>
      </c>
      <c r="D22" s="47">
        <v>18.010000000000002</v>
      </c>
      <c r="E22" s="53">
        <f t="shared" si="0"/>
        <v>4116.504463741051</v>
      </c>
      <c r="F22" s="24"/>
      <c r="G22" s="54"/>
      <c r="H22" s="55"/>
      <c r="I22" s="24"/>
      <c r="J22" s="57"/>
      <c r="K22" s="24"/>
      <c r="L22" s="24"/>
      <c r="M22" s="24"/>
      <c r="N22" s="24"/>
    </row>
    <row r="23" spans="2:16" x14ac:dyDescent="0.2">
      <c r="B23" s="24"/>
      <c r="C23" s="56"/>
      <c r="E23" s="24"/>
      <c r="F23" s="24"/>
      <c r="G23" s="24"/>
      <c r="H23" s="24"/>
      <c r="I23" s="24"/>
      <c r="J23" s="24"/>
      <c r="K23" s="24"/>
      <c r="L23" s="24"/>
      <c r="M23" s="24"/>
      <c r="N23" s="24"/>
    </row>
    <row r="24" spans="2:16" x14ac:dyDescent="0.2">
      <c r="B24" s="24"/>
      <c r="C24" s="24"/>
      <c r="D24" s="24"/>
      <c r="E24" s="24"/>
      <c r="F24" s="24"/>
      <c r="G24" s="24"/>
      <c r="H24" s="24"/>
      <c r="I24" s="24"/>
      <c r="J24" s="24"/>
      <c r="K24" s="24"/>
      <c r="L24" s="24"/>
      <c r="M24" s="24"/>
      <c r="N24" s="24"/>
    </row>
    <row r="25" spans="2:16" x14ac:dyDescent="0.2">
      <c r="B25" s="24"/>
      <c r="C25" s="24"/>
      <c r="D25" s="24"/>
      <c r="E25" s="24"/>
      <c r="F25" s="24"/>
      <c r="G25" s="24"/>
      <c r="H25" s="24"/>
      <c r="I25" s="24"/>
      <c r="J25" s="24"/>
      <c r="K25" s="24"/>
      <c r="L25" s="24"/>
      <c r="M25" s="24"/>
      <c r="N25" s="24"/>
    </row>
    <row r="26" spans="2:16" x14ac:dyDescent="0.2">
      <c r="B26" s="24"/>
      <c r="C26" s="24"/>
      <c r="D26" s="24"/>
      <c r="E26" s="24"/>
      <c r="F26" s="24"/>
      <c r="G26" s="24"/>
      <c r="H26" s="24"/>
      <c r="I26" s="24"/>
      <c r="J26" s="24"/>
      <c r="K26" s="24"/>
      <c r="L26" s="24"/>
      <c r="M26" s="24"/>
      <c r="N26" s="24"/>
    </row>
    <row r="27" spans="2:16" x14ac:dyDescent="0.2">
      <c r="B27" s="24"/>
      <c r="C27" s="24"/>
      <c r="D27" s="24"/>
      <c r="E27" s="24"/>
      <c r="F27" s="24"/>
      <c r="G27" s="24"/>
      <c r="H27" s="24"/>
      <c r="I27" s="24"/>
      <c r="J27" s="24"/>
      <c r="K27" s="24"/>
      <c r="L27" s="24"/>
      <c r="M27" s="24"/>
      <c r="N27" s="24"/>
    </row>
    <row r="28" spans="2:16" x14ac:dyDescent="0.2">
      <c r="B28" s="24"/>
      <c r="C28" s="24"/>
      <c r="D28" s="24"/>
      <c r="E28" s="24"/>
      <c r="F28" s="24"/>
      <c r="G28" s="24"/>
      <c r="H28" s="24"/>
      <c r="I28" s="24"/>
      <c r="J28" s="24"/>
      <c r="K28" s="24"/>
      <c r="L28" s="24"/>
      <c r="M28" s="24"/>
      <c r="N28" s="24"/>
      <c r="O28" s="24"/>
      <c r="P28" s="24"/>
    </row>
    <row r="29" spans="2:16" x14ac:dyDescent="0.2">
      <c r="B29" s="24"/>
      <c r="C29" s="24"/>
      <c r="D29" s="24"/>
      <c r="E29" s="24"/>
      <c r="F29" s="24"/>
      <c r="G29" s="24"/>
      <c r="H29" s="24"/>
      <c r="I29" s="24"/>
      <c r="J29" s="24"/>
      <c r="K29" s="24"/>
      <c r="L29" s="24"/>
      <c r="M29" s="24"/>
      <c r="N29" s="24"/>
      <c r="O29" s="24"/>
      <c r="P29" s="24"/>
    </row>
    <row r="30" spans="2:16" x14ac:dyDescent="0.2">
      <c r="N30" s="24"/>
      <c r="O30" s="24"/>
      <c r="P30" s="24"/>
    </row>
    <row r="31" spans="2:16" x14ac:dyDescent="0.2">
      <c r="D31" s="24"/>
      <c r="E31" s="24"/>
      <c r="F31" s="24"/>
      <c r="G31" s="24"/>
      <c r="H31" s="24"/>
      <c r="I31" s="24"/>
      <c r="J31" s="24"/>
      <c r="K31" s="24"/>
      <c r="L31" s="24"/>
      <c r="M31" s="24"/>
      <c r="N31" s="24"/>
      <c r="O31" s="24"/>
      <c r="P31" s="24"/>
    </row>
    <row r="32" spans="2:16" x14ac:dyDescent="0.2">
      <c r="D32" s="24"/>
    </row>
    <row r="33" spans="4:9" x14ac:dyDescent="0.2">
      <c r="D33" s="24"/>
    </row>
    <row r="34" spans="4:9" x14ac:dyDescent="0.2">
      <c r="D34" s="24"/>
    </row>
    <row r="35" spans="4:9" x14ac:dyDescent="0.2">
      <c r="D35" s="24"/>
    </row>
    <row r="36" spans="4:9" x14ac:dyDescent="0.2">
      <c r="D36" s="24"/>
    </row>
    <row r="40" spans="4:9" x14ac:dyDescent="0.2">
      <c r="I40" s="58"/>
    </row>
  </sheetData>
  <sheetProtection algorithmName="SHA-512" hashValue="ylAR2mGUVNCL34uiixtk4Ou1f6joXd1NqCjAf+t8Zyz7fivuW5Xp8NT3YHyfFH5pfMMXagleYyOOXgjAhH4c2g==" saltValue="zkbe/RyA2wl7EjBUmwrU1Q==" spinCount="100000" sheet="1" objects="1" scenarios="1"/>
  <sortState xmlns:xlrd2="http://schemas.microsoft.com/office/spreadsheetml/2017/richdata2" ref="B3:E22">
    <sortCondition ref="B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Revisions</vt:lpstr>
      <vt:lpstr>Summary</vt:lpstr>
      <vt:lpstr>Case 1 - External Fire</vt:lpstr>
      <vt:lpstr>Case 2 - Nitrogen Cntrl Failure</vt:lpstr>
      <vt:lpstr>Case 3 - Split Exchanger Tube</vt:lpstr>
      <vt:lpstr>Case 4 - Liquid Overfill</vt:lpstr>
      <vt:lpstr>Head Area Table</vt:lpstr>
      <vt:lpstr>Fluids</vt:lpstr>
      <vt:lpstr>Methanol</vt:lpstr>
      <vt:lpstr>'Case 1 - External Fire'!Print_Area</vt:lpstr>
      <vt:lpstr>'Case 2 - Nitrogen Cntrl Failure'!Print_Area</vt:lpstr>
      <vt:lpstr>Summary!Print_Area</vt:lpstr>
      <vt:lpstr>Summary!Print_Titles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 Wheatley</dc:creator>
  <cp:lastModifiedBy>Yene Irvine</cp:lastModifiedBy>
  <cp:lastPrinted>2019-05-27T18:09:39Z</cp:lastPrinted>
  <dcterms:created xsi:type="dcterms:W3CDTF">2013-01-04T12:24:47Z</dcterms:created>
  <dcterms:modified xsi:type="dcterms:W3CDTF">2025-09-17T01:01:57Z</dcterms:modified>
</cp:coreProperties>
</file>